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hninp\Downloads\Data Analyst Portfolio\Project 01 - Hotel Sales Analysis\02_Excel\"/>
    </mc:Choice>
  </mc:AlternateContent>
  <xr:revisionPtr revIDLastSave="0" documentId="13_ncr:1_{06FD0C67-1C81-48CE-B200-125A4B6BED63}" xr6:coauthVersionLast="47" xr6:coauthVersionMax="47" xr10:uidLastSave="{00000000-0000-0000-0000-000000000000}"/>
  <bookViews>
    <workbookView xWindow="-110" yWindow="-110" windowWidth="19420" windowHeight="11500" firstSheet="13" activeTab="15" xr2:uid="{00000000-000D-0000-FFFF-FFFF00000000}"/>
  </bookViews>
  <sheets>
    <sheet name="Hote_Sales_Cleaned" sheetId="1" r:id="rId1"/>
    <sheet name="KPI Summary" sheetId="17" r:id="rId2"/>
    <sheet name="Total Revenue " sheetId="2" r:id="rId3"/>
    <sheet name="Most Revenue Deluxe" sheetId="3" r:id="rId4"/>
    <sheet name="Highest Revenue Per Average" sheetId="4" r:id="rId5"/>
    <sheet name="Customer Behavior" sheetId="5" r:id="rId6"/>
    <sheet name="Most Revenue Booking Channel" sheetId="6" r:id="rId7"/>
    <sheet name="Monthly revenue" sheetId="7" r:id="rId8"/>
    <sheet name="Monthly Booking Count" sheetId="8" r:id="rId9"/>
    <sheet name="Booking Month Average Month" sheetId="9" r:id="rId10"/>
    <sheet name="July Booking" sheetId="10" r:id="rId11"/>
    <sheet name="Booking Channels in July" sheetId="11" r:id="rId12"/>
    <sheet name="Customer Type in July" sheetId="12" r:id="rId13"/>
    <sheet name="Guests in July" sheetId="13" r:id="rId14"/>
    <sheet name="Revenue by Room Type" sheetId="14" r:id="rId15"/>
    <sheet name="Bookings &amp; Revenue by Month" sheetId="16" r:id="rId16"/>
  </sheets>
  <definedNames>
    <definedName name="_xlnm._FilterDatabase" localSheetId="0" hidden="1">Hote_Sales_Cleaned!$A$1:$O$1</definedName>
  </definedNames>
  <calcPr calcId="191029"/>
  <pivotCaches>
    <pivotCache cacheId="8" r:id="rId1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7" l="1"/>
  <c r="C6" i="17"/>
  <c r="C5" i="17"/>
  <c r="C4" i="17"/>
  <c r="C3" i="17"/>
  <c r="N504" i="1"/>
  <c r="N503" i="1"/>
  <c r="L504" i="1"/>
  <c r="L503" i="1"/>
  <c r="F505" i="1"/>
  <c r="F504" i="1"/>
  <c r="L2" i="1"/>
  <c r="N2" i="1" s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L131" i="1"/>
  <c r="L143" i="1"/>
  <c r="L179" i="1"/>
  <c r="L191" i="1"/>
  <c r="L227" i="1"/>
  <c r="L239" i="1"/>
  <c r="L275" i="1"/>
  <c r="L287" i="1"/>
  <c r="F2" i="1"/>
  <c r="F3" i="1"/>
  <c r="L3" i="1" s="1"/>
  <c r="F4" i="1"/>
  <c r="L4" i="1" s="1"/>
  <c r="F5" i="1"/>
  <c r="L5" i="1" s="1"/>
  <c r="F6" i="1"/>
  <c r="L6" i="1" s="1"/>
  <c r="F7" i="1"/>
  <c r="L7" i="1" s="1"/>
  <c r="F8" i="1"/>
  <c r="L8" i="1" s="1"/>
  <c r="F9" i="1"/>
  <c r="L9" i="1" s="1"/>
  <c r="F10" i="1"/>
  <c r="L10" i="1" s="1"/>
  <c r="F11" i="1"/>
  <c r="L11" i="1" s="1"/>
  <c r="F12" i="1"/>
  <c r="L12" i="1" s="1"/>
  <c r="F13" i="1"/>
  <c r="L13" i="1" s="1"/>
  <c r="F14" i="1"/>
  <c r="L14" i="1" s="1"/>
  <c r="F15" i="1"/>
  <c r="L15" i="1" s="1"/>
  <c r="F16" i="1"/>
  <c r="L16" i="1" s="1"/>
  <c r="F17" i="1"/>
  <c r="L17" i="1" s="1"/>
  <c r="F18" i="1"/>
  <c r="L18" i="1" s="1"/>
  <c r="F19" i="1"/>
  <c r="L19" i="1" s="1"/>
  <c r="F20" i="1"/>
  <c r="L20" i="1" s="1"/>
  <c r="F21" i="1"/>
  <c r="L21" i="1" s="1"/>
  <c r="F22" i="1"/>
  <c r="L22" i="1" s="1"/>
  <c r="F23" i="1"/>
  <c r="L23" i="1" s="1"/>
  <c r="F24" i="1"/>
  <c r="L24" i="1" s="1"/>
  <c r="F25" i="1"/>
  <c r="L25" i="1" s="1"/>
  <c r="F26" i="1"/>
  <c r="L26" i="1" s="1"/>
  <c r="F27" i="1"/>
  <c r="L27" i="1" s="1"/>
  <c r="F28" i="1"/>
  <c r="L28" i="1" s="1"/>
  <c r="F29" i="1"/>
  <c r="L29" i="1" s="1"/>
  <c r="F30" i="1"/>
  <c r="L30" i="1" s="1"/>
  <c r="F31" i="1"/>
  <c r="L31" i="1" s="1"/>
  <c r="F32" i="1"/>
  <c r="L32" i="1" s="1"/>
  <c r="F33" i="1"/>
  <c r="L33" i="1" s="1"/>
  <c r="F34" i="1"/>
  <c r="L34" i="1" s="1"/>
  <c r="F35" i="1"/>
  <c r="L35" i="1" s="1"/>
  <c r="F36" i="1"/>
  <c r="L36" i="1" s="1"/>
  <c r="F37" i="1"/>
  <c r="L37" i="1" s="1"/>
  <c r="F38" i="1"/>
  <c r="L38" i="1" s="1"/>
  <c r="F39" i="1"/>
  <c r="L39" i="1" s="1"/>
  <c r="F40" i="1"/>
  <c r="L40" i="1" s="1"/>
  <c r="F41" i="1"/>
  <c r="L41" i="1" s="1"/>
  <c r="F42" i="1"/>
  <c r="L42" i="1" s="1"/>
  <c r="F43" i="1"/>
  <c r="L43" i="1" s="1"/>
  <c r="F44" i="1"/>
  <c r="L44" i="1" s="1"/>
  <c r="F45" i="1"/>
  <c r="L45" i="1" s="1"/>
  <c r="F46" i="1"/>
  <c r="L46" i="1" s="1"/>
  <c r="F47" i="1"/>
  <c r="L47" i="1" s="1"/>
  <c r="F48" i="1"/>
  <c r="L48" i="1" s="1"/>
  <c r="F49" i="1"/>
  <c r="L49" i="1" s="1"/>
  <c r="F50" i="1"/>
  <c r="L50" i="1" s="1"/>
  <c r="F51" i="1"/>
  <c r="L51" i="1" s="1"/>
  <c r="F52" i="1"/>
  <c r="L52" i="1" s="1"/>
  <c r="F53" i="1"/>
  <c r="L53" i="1" s="1"/>
  <c r="F54" i="1"/>
  <c r="L54" i="1" s="1"/>
  <c r="F55" i="1"/>
  <c r="L55" i="1" s="1"/>
  <c r="F56" i="1"/>
  <c r="L56" i="1" s="1"/>
  <c r="F57" i="1"/>
  <c r="L57" i="1" s="1"/>
  <c r="F58" i="1"/>
  <c r="L58" i="1" s="1"/>
  <c r="F59" i="1"/>
  <c r="L59" i="1" s="1"/>
  <c r="F60" i="1"/>
  <c r="L60" i="1" s="1"/>
  <c r="F61" i="1"/>
  <c r="L61" i="1" s="1"/>
  <c r="F62" i="1"/>
  <c r="L62" i="1" s="1"/>
  <c r="F63" i="1"/>
  <c r="L63" i="1" s="1"/>
  <c r="F64" i="1"/>
  <c r="L64" i="1" s="1"/>
  <c r="F65" i="1"/>
  <c r="L65" i="1" s="1"/>
  <c r="F66" i="1"/>
  <c r="L66" i="1" s="1"/>
  <c r="F67" i="1"/>
  <c r="L67" i="1" s="1"/>
  <c r="F68" i="1"/>
  <c r="L68" i="1" s="1"/>
  <c r="F69" i="1"/>
  <c r="L69" i="1" s="1"/>
  <c r="F70" i="1"/>
  <c r="L70" i="1" s="1"/>
  <c r="F71" i="1"/>
  <c r="L71" i="1" s="1"/>
  <c r="F72" i="1"/>
  <c r="L72" i="1" s="1"/>
  <c r="F73" i="1"/>
  <c r="L73" i="1" s="1"/>
  <c r="F74" i="1"/>
  <c r="L74" i="1" s="1"/>
  <c r="F75" i="1"/>
  <c r="L75" i="1" s="1"/>
  <c r="F76" i="1"/>
  <c r="L76" i="1" s="1"/>
  <c r="F77" i="1"/>
  <c r="L77" i="1" s="1"/>
  <c r="F78" i="1"/>
  <c r="L78" i="1" s="1"/>
  <c r="F79" i="1"/>
  <c r="L79" i="1" s="1"/>
  <c r="F80" i="1"/>
  <c r="L80" i="1" s="1"/>
  <c r="F81" i="1"/>
  <c r="L81" i="1" s="1"/>
  <c r="F82" i="1"/>
  <c r="L82" i="1" s="1"/>
  <c r="F83" i="1"/>
  <c r="L83" i="1" s="1"/>
  <c r="F84" i="1"/>
  <c r="L84" i="1" s="1"/>
  <c r="F85" i="1"/>
  <c r="L85" i="1" s="1"/>
  <c r="F86" i="1"/>
  <c r="L86" i="1" s="1"/>
  <c r="F87" i="1"/>
  <c r="L87" i="1" s="1"/>
  <c r="F88" i="1"/>
  <c r="L88" i="1" s="1"/>
  <c r="F89" i="1"/>
  <c r="L89" i="1" s="1"/>
  <c r="F90" i="1"/>
  <c r="L90" i="1" s="1"/>
  <c r="F91" i="1"/>
  <c r="L91" i="1" s="1"/>
  <c r="F92" i="1"/>
  <c r="L92" i="1" s="1"/>
  <c r="F93" i="1"/>
  <c r="L93" i="1" s="1"/>
  <c r="F94" i="1"/>
  <c r="L94" i="1" s="1"/>
  <c r="F95" i="1"/>
  <c r="L95" i="1" s="1"/>
  <c r="F96" i="1"/>
  <c r="L96" i="1" s="1"/>
  <c r="F97" i="1"/>
  <c r="L97" i="1" s="1"/>
  <c r="F98" i="1"/>
  <c r="L98" i="1" s="1"/>
  <c r="F99" i="1"/>
  <c r="L99" i="1" s="1"/>
  <c r="F100" i="1"/>
  <c r="L100" i="1" s="1"/>
  <c r="F101" i="1"/>
  <c r="L101" i="1" s="1"/>
  <c r="F102" i="1"/>
  <c r="L102" i="1" s="1"/>
  <c r="F103" i="1"/>
  <c r="L103" i="1" s="1"/>
  <c r="F104" i="1"/>
  <c r="L104" i="1" s="1"/>
  <c r="F105" i="1"/>
  <c r="L105" i="1" s="1"/>
  <c r="F106" i="1"/>
  <c r="L106" i="1" s="1"/>
  <c r="F107" i="1"/>
  <c r="L107" i="1" s="1"/>
  <c r="F108" i="1"/>
  <c r="L108" i="1" s="1"/>
  <c r="F109" i="1"/>
  <c r="L109" i="1" s="1"/>
  <c r="F110" i="1"/>
  <c r="L110" i="1" s="1"/>
  <c r="F111" i="1"/>
  <c r="L111" i="1" s="1"/>
  <c r="F112" i="1"/>
  <c r="L112" i="1" s="1"/>
  <c r="F113" i="1"/>
  <c r="L113" i="1" s="1"/>
  <c r="F114" i="1"/>
  <c r="L114" i="1" s="1"/>
  <c r="F115" i="1"/>
  <c r="L115" i="1" s="1"/>
  <c r="F116" i="1"/>
  <c r="L116" i="1" s="1"/>
  <c r="F117" i="1"/>
  <c r="L117" i="1" s="1"/>
  <c r="F118" i="1"/>
  <c r="L118" i="1" s="1"/>
  <c r="F119" i="1"/>
  <c r="L119" i="1" s="1"/>
  <c r="F120" i="1"/>
  <c r="L120" i="1" s="1"/>
  <c r="F121" i="1"/>
  <c r="L121" i="1" s="1"/>
  <c r="F122" i="1"/>
  <c r="L122" i="1" s="1"/>
  <c r="F123" i="1"/>
  <c r="L123" i="1" s="1"/>
  <c r="F124" i="1"/>
  <c r="L124" i="1" s="1"/>
  <c r="F125" i="1"/>
  <c r="L125" i="1" s="1"/>
  <c r="F126" i="1"/>
  <c r="L126" i="1" s="1"/>
  <c r="F127" i="1"/>
  <c r="L127" i="1" s="1"/>
  <c r="F128" i="1"/>
  <c r="L128" i="1" s="1"/>
  <c r="F129" i="1"/>
  <c r="L129" i="1" s="1"/>
  <c r="F130" i="1"/>
  <c r="L130" i="1" s="1"/>
  <c r="F131" i="1"/>
  <c r="F132" i="1"/>
  <c r="L132" i="1" s="1"/>
  <c r="F133" i="1"/>
  <c r="L133" i="1" s="1"/>
  <c r="F134" i="1"/>
  <c r="L134" i="1" s="1"/>
  <c r="F135" i="1"/>
  <c r="L135" i="1" s="1"/>
  <c r="F136" i="1"/>
  <c r="L136" i="1" s="1"/>
  <c r="F137" i="1"/>
  <c r="L137" i="1" s="1"/>
  <c r="F138" i="1"/>
  <c r="L138" i="1" s="1"/>
  <c r="F139" i="1"/>
  <c r="L139" i="1" s="1"/>
  <c r="F140" i="1"/>
  <c r="L140" i="1" s="1"/>
  <c r="F141" i="1"/>
  <c r="L141" i="1" s="1"/>
  <c r="F142" i="1"/>
  <c r="L142" i="1" s="1"/>
  <c r="F143" i="1"/>
  <c r="F144" i="1"/>
  <c r="L144" i="1" s="1"/>
  <c r="F145" i="1"/>
  <c r="L145" i="1" s="1"/>
  <c r="F146" i="1"/>
  <c r="L146" i="1" s="1"/>
  <c r="F147" i="1"/>
  <c r="L147" i="1" s="1"/>
  <c r="F148" i="1"/>
  <c r="L148" i="1" s="1"/>
  <c r="F149" i="1"/>
  <c r="L149" i="1" s="1"/>
  <c r="F150" i="1"/>
  <c r="L150" i="1" s="1"/>
  <c r="F151" i="1"/>
  <c r="L151" i="1" s="1"/>
  <c r="F152" i="1"/>
  <c r="L152" i="1" s="1"/>
  <c r="F153" i="1"/>
  <c r="L153" i="1" s="1"/>
  <c r="F154" i="1"/>
  <c r="L154" i="1" s="1"/>
  <c r="F155" i="1"/>
  <c r="L155" i="1" s="1"/>
  <c r="F156" i="1"/>
  <c r="L156" i="1" s="1"/>
  <c r="F157" i="1"/>
  <c r="L157" i="1" s="1"/>
  <c r="F158" i="1"/>
  <c r="L158" i="1" s="1"/>
  <c r="F159" i="1"/>
  <c r="L159" i="1" s="1"/>
  <c r="F160" i="1"/>
  <c r="L160" i="1" s="1"/>
  <c r="F161" i="1"/>
  <c r="L161" i="1" s="1"/>
  <c r="F162" i="1"/>
  <c r="L162" i="1" s="1"/>
  <c r="F163" i="1"/>
  <c r="L163" i="1" s="1"/>
  <c r="F164" i="1"/>
  <c r="L164" i="1" s="1"/>
  <c r="F165" i="1"/>
  <c r="L165" i="1" s="1"/>
  <c r="F166" i="1"/>
  <c r="L166" i="1" s="1"/>
  <c r="F167" i="1"/>
  <c r="L167" i="1" s="1"/>
  <c r="F168" i="1"/>
  <c r="L168" i="1" s="1"/>
  <c r="F169" i="1"/>
  <c r="L169" i="1" s="1"/>
  <c r="F170" i="1"/>
  <c r="L170" i="1" s="1"/>
  <c r="F171" i="1"/>
  <c r="L171" i="1" s="1"/>
  <c r="F172" i="1"/>
  <c r="L172" i="1" s="1"/>
  <c r="F173" i="1"/>
  <c r="L173" i="1" s="1"/>
  <c r="F174" i="1"/>
  <c r="L174" i="1" s="1"/>
  <c r="F175" i="1"/>
  <c r="L175" i="1" s="1"/>
  <c r="F176" i="1"/>
  <c r="L176" i="1" s="1"/>
  <c r="F177" i="1"/>
  <c r="L177" i="1" s="1"/>
  <c r="F178" i="1"/>
  <c r="L178" i="1" s="1"/>
  <c r="F179" i="1"/>
  <c r="F180" i="1"/>
  <c r="L180" i="1" s="1"/>
  <c r="F181" i="1"/>
  <c r="L181" i="1" s="1"/>
  <c r="F182" i="1"/>
  <c r="L182" i="1" s="1"/>
  <c r="F183" i="1"/>
  <c r="L183" i="1" s="1"/>
  <c r="F184" i="1"/>
  <c r="L184" i="1" s="1"/>
  <c r="F185" i="1"/>
  <c r="L185" i="1" s="1"/>
  <c r="F186" i="1"/>
  <c r="L186" i="1" s="1"/>
  <c r="F187" i="1"/>
  <c r="L187" i="1" s="1"/>
  <c r="F188" i="1"/>
  <c r="L188" i="1" s="1"/>
  <c r="F189" i="1"/>
  <c r="L189" i="1" s="1"/>
  <c r="F190" i="1"/>
  <c r="L190" i="1" s="1"/>
  <c r="F191" i="1"/>
  <c r="F192" i="1"/>
  <c r="L192" i="1" s="1"/>
  <c r="F193" i="1"/>
  <c r="L193" i="1" s="1"/>
  <c r="F194" i="1"/>
  <c r="L194" i="1" s="1"/>
  <c r="F195" i="1"/>
  <c r="L195" i="1" s="1"/>
  <c r="F196" i="1"/>
  <c r="L196" i="1" s="1"/>
  <c r="F197" i="1"/>
  <c r="L197" i="1" s="1"/>
  <c r="F198" i="1"/>
  <c r="L198" i="1" s="1"/>
  <c r="F199" i="1"/>
  <c r="L199" i="1" s="1"/>
  <c r="F200" i="1"/>
  <c r="L200" i="1" s="1"/>
  <c r="F201" i="1"/>
  <c r="L201" i="1" s="1"/>
  <c r="F202" i="1"/>
  <c r="L202" i="1" s="1"/>
  <c r="F203" i="1"/>
  <c r="L203" i="1" s="1"/>
  <c r="F204" i="1"/>
  <c r="L204" i="1" s="1"/>
  <c r="F205" i="1"/>
  <c r="L205" i="1" s="1"/>
  <c r="F206" i="1"/>
  <c r="L206" i="1" s="1"/>
  <c r="F207" i="1"/>
  <c r="L207" i="1" s="1"/>
  <c r="F208" i="1"/>
  <c r="L208" i="1" s="1"/>
  <c r="F209" i="1"/>
  <c r="L209" i="1" s="1"/>
  <c r="F210" i="1"/>
  <c r="L210" i="1" s="1"/>
  <c r="F211" i="1"/>
  <c r="L211" i="1" s="1"/>
  <c r="F212" i="1"/>
  <c r="L212" i="1" s="1"/>
  <c r="F213" i="1"/>
  <c r="L213" i="1" s="1"/>
  <c r="F214" i="1"/>
  <c r="L214" i="1" s="1"/>
  <c r="F215" i="1"/>
  <c r="L215" i="1" s="1"/>
  <c r="F216" i="1"/>
  <c r="L216" i="1" s="1"/>
  <c r="F217" i="1"/>
  <c r="L217" i="1" s="1"/>
  <c r="F218" i="1"/>
  <c r="L218" i="1" s="1"/>
  <c r="F219" i="1"/>
  <c r="L219" i="1" s="1"/>
  <c r="F220" i="1"/>
  <c r="L220" i="1" s="1"/>
  <c r="F221" i="1"/>
  <c r="L221" i="1" s="1"/>
  <c r="F222" i="1"/>
  <c r="L222" i="1" s="1"/>
  <c r="F223" i="1"/>
  <c r="L223" i="1" s="1"/>
  <c r="F224" i="1"/>
  <c r="L224" i="1" s="1"/>
  <c r="F225" i="1"/>
  <c r="L225" i="1" s="1"/>
  <c r="F226" i="1"/>
  <c r="L226" i="1" s="1"/>
  <c r="F227" i="1"/>
  <c r="F228" i="1"/>
  <c r="L228" i="1" s="1"/>
  <c r="F229" i="1"/>
  <c r="L229" i="1" s="1"/>
  <c r="F230" i="1"/>
  <c r="L230" i="1" s="1"/>
  <c r="F231" i="1"/>
  <c r="L231" i="1" s="1"/>
  <c r="F232" i="1"/>
  <c r="L232" i="1" s="1"/>
  <c r="F233" i="1"/>
  <c r="L233" i="1" s="1"/>
  <c r="F234" i="1"/>
  <c r="L234" i="1" s="1"/>
  <c r="F235" i="1"/>
  <c r="L235" i="1" s="1"/>
  <c r="F236" i="1"/>
  <c r="L236" i="1" s="1"/>
  <c r="F237" i="1"/>
  <c r="L237" i="1" s="1"/>
  <c r="F238" i="1"/>
  <c r="L238" i="1" s="1"/>
  <c r="F239" i="1"/>
  <c r="F240" i="1"/>
  <c r="L240" i="1" s="1"/>
  <c r="F241" i="1"/>
  <c r="L241" i="1" s="1"/>
  <c r="F242" i="1"/>
  <c r="L242" i="1" s="1"/>
  <c r="F243" i="1"/>
  <c r="L243" i="1" s="1"/>
  <c r="F244" i="1"/>
  <c r="L244" i="1" s="1"/>
  <c r="F245" i="1"/>
  <c r="L245" i="1" s="1"/>
  <c r="F246" i="1"/>
  <c r="L246" i="1" s="1"/>
  <c r="F247" i="1"/>
  <c r="L247" i="1" s="1"/>
  <c r="F248" i="1"/>
  <c r="L248" i="1" s="1"/>
  <c r="F249" i="1"/>
  <c r="L249" i="1" s="1"/>
  <c r="F250" i="1"/>
  <c r="L250" i="1" s="1"/>
  <c r="F251" i="1"/>
  <c r="L251" i="1" s="1"/>
  <c r="F252" i="1"/>
  <c r="L252" i="1" s="1"/>
  <c r="F253" i="1"/>
  <c r="L253" i="1" s="1"/>
  <c r="F254" i="1"/>
  <c r="L254" i="1" s="1"/>
  <c r="F255" i="1"/>
  <c r="L255" i="1" s="1"/>
  <c r="F256" i="1"/>
  <c r="L256" i="1" s="1"/>
  <c r="F257" i="1"/>
  <c r="L257" i="1" s="1"/>
  <c r="F258" i="1"/>
  <c r="L258" i="1" s="1"/>
  <c r="F259" i="1"/>
  <c r="L259" i="1" s="1"/>
  <c r="F260" i="1"/>
  <c r="L260" i="1" s="1"/>
  <c r="F261" i="1"/>
  <c r="L261" i="1" s="1"/>
  <c r="F262" i="1"/>
  <c r="L262" i="1" s="1"/>
  <c r="F263" i="1"/>
  <c r="L263" i="1" s="1"/>
  <c r="F264" i="1"/>
  <c r="L264" i="1" s="1"/>
  <c r="F265" i="1"/>
  <c r="L265" i="1" s="1"/>
  <c r="F266" i="1"/>
  <c r="L266" i="1" s="1"/>
  <c r="F267" i="1"/>
  <c r="L267" i="1" s="1"/>
  <c r="F268" i="1"/>
  <c r="L268" i="1" s="1"/>
  <c r="F269" i="1"/>
  <c r="L269" i="1" s="1"/>
  <c r="F270" i="1"/>
  <c r="L270" i="1" s="1"/>
  <c r="F271" i="1"/>
  <c r="L271" i="1" s="1"/>
  <c r="F272" i="1"/>
  <c r="L272" i="1" s="1"/>
  <c r="F273" i="1"/>
  <c r="L273" i="1" s="1"/>
  <c r="F274" i="1"/>
  <c r="L274" i="1" s="1"/>
  <c r="F275" i="1"/>
  <c r="F276" i="1"/>
  <c r="L276" i="1" s="1"/>
  <c r="F277" i="1"/>
  <c r="L277" i="1" s="1"/>
  <c r="F278" i="1"/>
  <c r="L278" i="1" s="1"/>
  <c r="F279" i="1"/>
  <c r="L279" i="1" s="1"/>
  <c r="F280" i="1"/>
  <c r="L280" i="1" s="1"/>
  <c r="F281" i="1"/>
  <c r="L281" i="1" s="1"/>
  <c r="F282" i="1"/>
  <c r="L282" i="1" s="1"/>
  <c r="F283" i="1"/>
  <c r="L283" i="1" s="1"/>
  <c r="F284" i="1"/>
  <c r="L284" i="1" s="1"/>
  <c r="F285" i="1"/>
  <c r="L285" i="1" s="1"/>
  <c r="F286" i="1"/>
  <c r="L286" i="1" s="1"/>
  <c r="F287" i="1"/>
  <c r="F288" i="1"/>
  <c r="L288" i="1" s="1"/>
  <c r="F289" i="1"/>
  <c r="L289" i="1" s="1"/>
  <c r="F290" i="1"/>
  <c r="L290" i="1" s="1"/>
  <c r="F291" i="1"/>
  <c r="L291" i="1" s="1"/>
  <c r="F292" i="1"/>
  <c r="L292" i="1" s="1"/>
  <c r="F293" i="1"/>
  <c r="L293" i="1" s="1"/>
  <c r="F294" i="1"/>
  <c r="L294" i="1" s="1"/>
  <c r="F295" i="1"/>
  <c r="L295" i="1" s="1"/>
  <c r="F296" i="1"/>
  <c r="L296" i="1" s="1"/>
  <c r="F297" i="1"/>
  <c r="L297" i="1" s="1"/>
  <c r="F298" i="1"/>
  <c r="L298" i="1" s="1"/>
  <c r="F299" i="1"/>
  <c r="L299" i="1" s="1"/>
  <c r="F300" i="1"/>
  <c r="L300" i="1" s="1"/>
  <c r="F301" i="1"/>
  <c r="L301" i="1" s="1"/>
  <c r="F302" i="1"/>
  <c r="L302" i="1" s="1"/>
  <c r="F303" i="1"/>
  <c r="L303" i="1" s="1"/>
  <c r="F304" i="1"/>
  <c r="L304" i="1" s="1"/>
  <c r="F305" i="1"/>
  <c r="L305" i="1" s="1"/>
  <c r="F306" i="1"/>
  <c r="L306" i="1" s="1"/>
  <c r="F307" i="1"/>
  <c r="L307" i="1" s="1"/>
  <c r="F308" i="1"/>
  <c r="L308" i="1" s="1"/>
  <c r="F309" i="1"/>
  <c r="L309" i="1" s="1"/>
  <c r="F310" i="1"/>
  <c r="L310" i="1" s="1"/>
  <c r="F311" i="1"/>
  <c r="L311" i="1" s="1"/>
  <c r="F312" i="1"/>
  <c r="L312" i="1" s="1"/>
  <c r="F313" i="1"/>
  <c r="L313" i="1" s="1"/>
  <c r="F314" i="1"/>
  <c r="L314" i="1" s="1"/>
  <c r="F315" i="1"/>
  <c r="L315" i="1" s="1"/>
  <c r="F316" i="1"/>
  <c r="L316" i="1" s="1"/>
  <c r="F317" i="1"/>
  <c r="L317" i="1" s="1"/>
  <c r="F318" i="1"/>
  <c r="L318" i="1" s="1"/>
  <c r="F319" i="1"/>
  <c r="L319" i="1" s="1"/>
  <c r="F320" i="1"/>
  <c r="L320" i="1" s="1"/>
  <c r="F321" i="1"/>
  <c r="L321" i="1" s="1"/>
  <c r="F322" i="1"/>
  <c r="L322" i="1" s="1"/>
  <c r="F323" i="1"/>
  <c r="L323" i="1" s="1"/>
  <c r="F324" i="1"/>
  <c r="L324" i="1" s="1"/>
  <c r="F325" i="1"/>
  <c r="L325" i="1" s="1"/>
  <c r="F326" i="1"/>
  <c r="L326" i="1" s="1"/>
  <c r="F327" i="1"/>
  <c r="L327" i="1" s="1"/>
  <c r="F328" i="1"/>
  <c r="L328" i="1" s="1"/>
  <c r="F329" i="1"/>
  <c r="L329" i="1" s="1"/>
  <c r="F330" i="1"/>
  <c r="L330" i="1" s="1"/>
  <c r="F331" i="1"/>
  <c r="L331" i="1" s="1"/>
  <c r="F332" i="1"/>
  <c r="L332" i="1" s="1"/>
  <c r="F333" i="1"/>
  <c r="L333" i="1" s="1"/>
  <c r="F334" i="1"/>
  <c r="L334" i="1" s="1"/>
  <c r="F335" i="1"/>
  <c r="L335" i="1" s="1"/>
  <c r="F336" i="1"/>
  <c r="L336" i="1" s="1"/>
  <c r="F337" i="1"/>
  <c r="L337" i="1" s="1"/>
  <c r="F338" i="1"/>
  <c r="L338" i="1" s="1"/>
  <c r="F339" i="1"/>
  <c r="L339" i="1" s="1"/>
  <c r="F340" i="1"/>
  <c r="L340" i="1" s="1"/>
  <c r="F341" i="1"/>
  <c r="L341" i="1" s="1"/>
  <c r="F342" i="1"/>
  <c r="L342" i="1" s="1"/>
  <c r="F343" i="1"/>
  <c r="L343" i="1" s="1"/>
  <c r="F344" i="1"/>
  <c r="L344" i="1" s="1"/>
  <c r="F345" i="1"/>
  <c r="L345" i="1" s="1"/>
  <c r="F346" i="1"/>
  <c r="L346" i="1" s="1"/>
  <c r="F347" i="1"/>
  <c r="L347" i="1" s="1"/>
  <c r="F348" i="1"/>
  <c r="L348" i="1" s="1"/>
  <c r="F349" i="1"/>
  <c r="L349" i="1" s="1"/>
  <c r="F350" i="1"/>
  <c r="L350" i="1" s="1"/>
  <c r="F351" i="1"/>
  <c r="L351" i="1" s="1"/>
  <c r="F352" i="1"/>
  <c r="L352" i="1" s="1"/>
  <c r="F353" i="1"/>
  <c r="L353" i="1" s="1"/>
  <c r="F354" i="1"/>
  <c r="L354" i="1" s="1"/>
  <c r="F355" i="1"/>
  <c r="L355" i="1" s="1"/>
  <c r="F356" i="1"/>
  <c r="L356" i="1" s="1"/>
  <c r="F357" i="1"/>
  <c r="L357" i="1" s="1"/>
  <c r="F358" i="1"/>
  <c r="L358" i="1" s="1"/>
  <c r="F359" i="1"/>
  <c r="L359" i="1" s="1"/>
  <c r="F360" i="1"/>
  <c r="L360" i="1" s="1"/>
  <c r="F361" i="1"/>
  <c r="L361" i="1" s="1"/>
  <c r="F362" i="1"/>
  <c r="L362" i="1" s="1"/>
  <c r="F363" i="1"/>
  <c r="L363" i="1" s="1"/>
  <c r="F364" i="1"/>
  <c r="L364" i="1" s="1"/>
  <c r="F365" i="1"/>
  <c r="L365" i="1" s="1"/>
  <c r="F366" i="1"/>
  <c r="L366" i="1" s="1"/>
  <c r="F367" i="1"/>
  <c r="L367" i="1" s="1"/>
  <c r="F368" i="1"/>
  <c r="L368" i="1" s="1"/>
  <c r="F369" i="1"/>
  <c r="L369" i="1" s="1"/>
  <c r="F370" i="1"/>
  <c r="L370" i="1" s="1"/>
  <c r="F371" i="1"/>
  <c r="L371" i="1" s="1"/>
  <c r="F372" i="1"/>
  <c r="L372" i="1" s="1"/>
  <c r="F373" i="1"/>
  <c r="L373" i="1" s="1"/>
  <c r="F374" i="1"/>
  <c r="L374" i="1" s="1"/>
  <c r="F375" i="1"/>
  <c r="L375" i="1" s="1"/>
  <c r="F376" i="1"/>
  <c r="L376" i="1" s="1"/>
  <c r="F377" i="1"/>
  <c r="L377" i="1" s="1"/>
  <c r="F378" i="1"/>
  <c r="L378" i="1" s="1"/>
  <c r="F379" i="1"/>
  <c r="L379" i="1" s="1"/>
  <c r="F380" i="1"/>
  <c r="L380" i="1" s="1"/>
  <c r="F381" i="1"/>
  <c r="L381" i="1" s="1"/>
  <c r="F382" i="1"/>
  <c r="L382" i="1" s="1"/>
  <c r="F383" i="1"/>
  <c r="L383" i="1" s="1"/>
  <c r="F384" i="1"/>
  <c r="L384" i="1" s="1"/>
  <c r="F385" i="1"/>
  <c r="L385" i="1" s="1"/>
  <c r="F386" i="1"/>
  <c r="L386" i="1" s="1"/>
  <c r="F387" i="1"/>
  <c r="L387" i="1" s="1"/>
  <c r="F388" i="1"/>
  <c r="L388" i="1" s="1"/>
  <c r="F389" i="1"/>
  <c r="L389" i="1" s="1"/>
  <c r="F390" i="1"/>
  <c r="L390" i="1" s="1"/>
  <c r="F391" i="1"/>
  <c r="L391" i="1" s="1"/>
  <c r="F392" i="1"/>
  <c r="L392" i="1" s="1"/>
  <c r="F393" i="1"/>
  <c r="L393" i="1" s="1"/>
  <c r="F394" i="1"/>
  <c r="L394" i="1" s="1"/>
  <c r="F395" i="1"/>
  <c r="L395" i="1" s="1"/>
  <c r="F396" i="1"/>
  <c r="L396" i="1" s="1"/>
  <c r="F397" i="1"/>
  <c r="L397" i="1" s="1"/>
  <c r="F398" i="1"/>
  <c r="L398" i="1" s="1"/>
  <c r="F399" i="1"/>
  <c r="L399" i="1" s="1"/>
  <c r="F400" i="1"/>
  <c r="L400" i="1" s="1"/>
  <c r="F401" i="1"/>
  <c r="L401" i="1" s="1"/>
  <c r="F402" i="1"/>
  <c r="L402" i="1" s="1"/>
  <c r="F403" i="1"/>
  <c r="L403" i="1" s="1"/>
  <c r="F404" i="1"/>
  <c r="L404" i="1" s="1"/>
  <c r="F405" i="1"/>
  <c r="L405" i="1" s="1"/>
  <c r="F406" i="1"/>
  <c r="L406" i="1" s="1"/>
  <c r="F407" i="1"/>
  <c r="L407" i="1" s="1"/>
  <c r="F408" i="1"/>
  <c r="L408" i="1" s="1"/>
  <c r="F409" i="1"/>
  <c r="L409" i="1" s="1"/>
  <c r="F410" i="1"/>
  <c r="L410" i="1" s="1"/>
  <c r="F411" i="1"/>
  <c r="L411" i="1" s="1"/>
  <c r="F412" i="1"/>
  <c r="L412" i="1" s="1"/>
  <c r="F413" i="1"/>
  <c r="L413" i="1" s="1"/>
  <c r="F414" i="1"/>
  <c r="L414" i="1" s="1"/>
  <c r="F415" i="1"/>
  <c r="L415" i="1" s="1"/>
  <c r="F416" i="1"/>
  <c r="L416" i="1" s="1"/>
  <c r="F417" i="1"/>
  <c r="L417" i="1" s="1"/>
  <c r="F418" i="1"/>
  <c r="L418" i="1" s="1"/>
  <c r="F419" i="1"/>
  <c r="L419" i="1" s="1"/>
  <c r="F420" i="1"/>
  <c r="L420" i="1" s="1"/>
  <c r="F421" i="1"/>
  <c r="L421" i="1" s="1"/>
  <c r="F422" i="1"/>
  <c r="L422" i="1" s="1"/>
  <c r="F423" i="1"/>
  <c r="L423" i="1" s="1"/>
  <c r="F424" i="1"/>
  <c r="L424" i="1" s="1"/>
  <c r="F425" i="1"/>
  <c r="L425" i="1" s="1"/>
  <c r="F426" i="1"/>
  <c r="L426" i="1" s="1"/>
  <c r="F427" i="1"/>
  <c r="L427" i="1" s="1"/>
  <c r="F428" i="1"/>
  <c r="L428" i="1" s="1"/>
  <c r="F429" i="1"/>
  <c r="L429" i="1" s="1"/>
  <c r="F430" i="1"/>
  <c r="L430" i="1" s="1"/>
  <c r="F431" i="1"/>
  <c r="L431" i="1" s="1"/>
  <c r="F432" i="1"/>
  <c r="L432" i="1" s="1"/>
  <c r="F433" i="1"/>
  <c r="L433" i="1" s="1"/>
  <c r="F434" i="1"/>
  <c r="L434" i="1" s="1"/>
  <c r="F435" i="1"/>
  <c r="L435" i="1" s="1"/>
  <c r="F436" i="1"/>
  <c r="L436" i="1" s="1"/>
  <c r="F437" i="1"/>
  <c r="L437" i="1" s="1"/>
  <c r="F438" i="1"/>
  <c r="L438" i="1" s="1"/>
  <c r="F439" i="1"/>
  <c r="L439" i="1" s="1"/>
  <c r="F440" i="1"/>
  <c r="L440" i="1" s="1"/>
  <c r="F441" i="1"/>
  <c r="L441" i="1" s="1"/>
  <c r="F442" i="1"/>
  <c r="L442" i="1" s="1"/>
  <c r="F443" i="1"/>
  <c r="L443" i="1" s="1"/>
  <c r="F444" i="1"/>
  <c r="L444" i="1" s="1"/>
  <c r="F445" i="1"/>
  <c r="L445" i="1" s="1"/>
  <c r="F446" i="1"/>
  <c r="L446" i="1" s="1"/>
  <c r="F447" i="1"/>
  <c r="L447" i="1" s="1"/>
  <c r="F448" i="1"/>
  <c r="L448" i="1" s="1"/>
  <c r="F449" i="1"/>
  <c r="L449" i="1" s="1"/>
  <c r="F450" i="1"/>
  <c r="L450" i="1" s="1"/>
  <c r="F451" i="1"/>
  <c r="L451" i="1" s="1"/>
  <c r="F452" i="1"/>
  <c r="L452" i="1" s="1"/>
  <c r="F453" i="1"/>
  <c r="L453" i="1" s="1"/>
  <c r="F454" i="1"/>
  <c r="L454" i="1" s="1"/>
  <c r="F455" i="1"/>
  <c r="L455" i="1" s="1"/>
  <c r="F456" i="1"/>
  <c r="L456" i="1" s="1"/>
  <c r="F457" i="1"/>
  <c r="L457" i="1" s="1"/>
  <c r="F458" i="1"/>
  <c r="L458" i="1" s="1"/>
  <c r="F459" i="1"/>
  <c r="L459" i="1" s="1"/>
  <c r="F460" i="1"/>
  <c r="L460" i="1" s="1"/>
  <c r="F461" i="1"/>
  <c r="L461" i="1" s="1"/>
  <c r="F462" i="1"/>
  <c r="L462" i="1" s="1"/>
  <c r="F463" i="1"/>
  <c r="L463" i="1" s="1"/>
  <c r="F464" i="1"/>
  <c r="L464" i="1" s="1"/>
  <c r="F465" i="1"/>
  <c r="L465" i="1" s="1"/>
  <c r="F466" i="1"/>
  <c r="L466" i="1" s="1"/>
  <c r="F467" i="1"/>
  <c r="L467" i="1" s="1"/>
  <c r="F468" i="1"/>
  <c r="L468" i="1" s="1"/>
  <c r="F469" i="1"/>
  <c r="L469" i="1" s="1"/>
  <c r="F470" i="1"/>
  <c r="L470" i="1" s="1"/>
  <c r="F471" i="1"/>
  <c r="L471" i="1" s="1"/>
  <c r="F472" i="1"/>
  <c r="L472" i="1" s="1"/>
  <c r="F473" i="1"/>
  <c r="L473" i="1" s="1"/>
  <c r="F474" i="1"/>
  <c r="L474" i="1" s="1"/>
  <c r="F475" i="1"/>
  <c r="L475" i="1" s="1"/>
  <c r="F476" i="1"/>
  <c r="L476" i="1" s="1"/>
  <c r="F477" i="1"/>
  <c r="L477" i="1" s="1"/>
  <c r="F478" i="1"/>
  <c r="L478" i="1" s="1"/>
  <c r="F479" i="1"/>
  <c r="L479" i="1" s="1"/>
  <c r="F480" i="1"/>
  <c r="L480" i="1" s="1"/>
  <c r="F481" i="1"/>
  <c r="L481" i="1" s="1"/>
  <c r="F482" i="1"/>
  <c r="L482" i="1" s="1"/>
  <c r="F483" i="1"/>
  <c r="L483" i="1" s="1"/>
  <c r="F484" i="1"/>
  <c r="L484" i="1" s="1"/>
  <c r="F485" i="1"/>
  <c r="L485" i="1" s="1"/>
  <c r="F486" i="1"/>
  <c r="L486" i="1" s="1"/>
  <c r="F487" i="1"/>
  <c r="L487" i="1" s="1"/>
  <c r="F488" i="1"/>
  <c r="L488" i="1" s="1"/>
  <c r="F489" i="1"/>
  <c r="L489" i="1" s="1"/>
  <c r="F490" i="1"/>
  <c r="L490" i="1" s="1"/>
  <c r="F491" i="1"/>
  <c r="L491" i="1" s="1"/>
  <c r="F492" i="1"/>
  <c r="L492" i="1" s="1"/>
  <c r="F493" i="1"/>
  <c r="L493" i="1" s="1"/>
  <c r="F494" i="1"/>
  <c r="L494" i="1" s="1"/>
  <c r="F495" i="1"/>
  <c r="L495" i="1" s="1"/>
  <c r="F496" i="1"/>
  <c r="L496" i="1" s="1"/>
  <c r="F497" i="1"/>
  <c r="L497" i="1" s="1"/>
  <c r="F498" i="1"/>
  <c r="L498" i="1" s="1"/>
  <c r="F499" i="1"/>
  <c r="L499" i="1" s="1"/>
  <c r="F500" i="1"/>
  <c r="L500" i="1" s="1"/>
  <c r="F501" i="1"/>
  <c r="L501" i="1" s="1"/>
</calcChain>
</file>

<file path=xl/sharedStrings.xml><?xml version="1.0" encoding="utf-8"?>
<sst xmlns="http://schemas.openxmlformats.org/spreadsheetml/2006/main" count="3180" uniqueCount="841">
  <si>
    <t>Booking_ID</t>
  </si>
  <si>
    <t>Customer_ID</t>
  </si>
  <si>
    <t>Booking_Date</t>
  </si>
  <si>
    <t>Check_In</t>
  </si>
  <si>
    <t>Check_Out</t>
  </si>
  <si>
    <t>Room_Type</t>
  </si>
  <si>
    <t>Customer_Type</t>
  </si>
  <si>
    <t>Booking_Channel</t>
  </si>
  <si>
    <t>Guests</t>
  </si>
  <si>
    <t>Room_Rate</t>
  </si>
  <si>
    <t>Restaurant_Spend</t>
  </si>
  <si>
    <t>City</t>
  </si>
  <si>
    <t>B0474</t>
  </si>
  <si>
    <t>B0045</t>
  </si>
  <si>
    <t>B0322</t>
  </si>
  <si>
    <t>B0487</t>
  </si>
  <si>
    <t>B0097</t>
  </si>
  <si>
    <t>B0355</t>
  </si>
  <si>
    <t>B0203</t>
  </si>
  <si>
    <t>B0156</t>
  </si>
  <si>
    <t>B0242</t>
  </si>
  <si>
    <t>B0027</t>
  </si>
  <si>
    <t>B0363</t>
  </si>
  <si>
    <t>B0469</t>
  </si>
  <si>
    <t>B0052</t>
  </si>
  <si>
    <t>B0375</t>
  </si>
  <si>
    <t>B0443</t>
  </si>
  <si>
    <t>B0408</t>
  </si>
  <si>
    <t>B0492</t>
  </si>
  <si>
    <t>B0448</t>
  </si>
  <si>
    <t>B0138</t>
  </si>
  <si>
    <t>B0480</t>
  </si>
  <si>
    <t>B0237</t>
  </si>
  <si>
    <t>B0169</t>
  </si>
  <si>
    <t>B0351</t>
  </si>
  <si>
    <t>B0254</t>
  </si>
  <si>
    <t>B0419</t>
  </si>
  <si>
    <t>B0409</t>
  </si>
  <si>
    <t>B0283</t>
  </si>
  <si>
    <t>B0300</t>
  </si>
  <si>
    <t>B0390</t>
  </si>
  <si>
    <t>B0384</t>
  </si>
  <si>
    <t>B0209</t>
  </si>
  <si>
    <t>B0160</t>
  </si>
  <si>
    <t>B0418</t>
  </si>
  <si>
    <t>B0194</t>
  </si>
  <si>
    <t>B0001</t>
  </si>
  <si>
    <t>B0114</t>
  </si>
  <si>
    <t>B0090</t>
  </si>
  <si>
    <t>B0204</t>
  </si>
  <si>
    <t>B0429</t>
  </si>
  <si>
    <t>B0098</t>
  </si>
  <si>
    <t>B0367</t>
  </si>
  <si>
    <t>B0394</t>
  </si>
  <si>
    <t>B0018</t>
  </si>
  <si>
    <t>B0036</t>
  </si>
  <si>
    <t>B0009</t>
  </si>
  <si>
    <t>B0333</t>
  </si>
  <si>
    <t>B0230</t>
  </si>
  <si>
    <t>B0392</t>
  </si>
  <si>
    <t>B0092</t>
  </si>
  <si>
    <t>B0483</t>
  </si>
  <si>
    <t>B0006</t>
  </si>
  <si>
    <t>B0028</t>
  </si>
  <si>
    <t>B0452</t>
  </si>
  <si>
    <t>B0304</t>
  </si>
  <si>
    <t>B0293</t>
  </si>
  <si>
    <t>B0065</t>
  </si>
  <si>
    <t>B0272</t>
  </si>
  <si>
    <t>B0171</t>
  </si>
  <si>
    <t>B0198</t>
  </si>
  <si>
    <t>B0032</t>
  </si>
  <si>
    <t>B0083</t>
  </si>
  <si>
    <t>B0485</t>
  </si>
  <si>
    <t>B0053</t>
  </si>
  <si>
    <t>B0010</t>
  </si>
  <si>
    <t>B0089</t>
  </si>
  <si>
    <t>B0095</t>
  </si>
  <si>
    <t>B0280</t>
  </si>
  <si>
    <t>B0314</t>
  </si>
  <si>
    <t>B0321</t>
  </si>
  <si>
    <t>B0350</t>
  </si>
  <si>
    <t>B0238</t>
  </si>
  <si>
    <t>B0020</t>
  </si>
  <si>
    <t>B0291</t>
  </si>
  <si>
    <t>B0116</t>
  </si>
  <si>
    <t>B0117</t>
  </si>
  <si>
    <t>B0287</t>
  </si>
  <si>
    <t>B0294</t>
  </si>
  <si>
    <t>B0244</t>
  </si>
  <si>
    <t>B0007</t>
  </si>
  <si>
    <t>B0471</t>
  </si>
  <si>
    <t>B0049</t>
  </si>
  <si>
    <t>B0373</t>
  </si>
  <si>
    <t>B0033</t>
  </si>
  <si>
    <t>B0458</t>
  </si>
  <si>
    <t>B0013</t>
  </si>
  <si>
    <t>B0190</t>
  </si>
  <si>
    <t>B0179</t>
  </si>
  <si>
    <t>B0164</t>
  </si>
  <si>
    <t>B0286</t>
  </si>
  <si>
    <t>B0107</t>
  </si>
  <si>
    <t>B0411</t>
  </si>
  <si>
    <t>B0220</t>
  </si>
  <si>
    <t>B0342</t>
  </si>
  <si>
    <t>B0250</t>
  </si>
  <si>
    <t>B0177</t>
  </si>
  <si>
    <t>B0101</t>
  </si>
  <si>
    <t>B0146</t>
  </si>
  <si>
    <t>B0442</t>
  </si>
  <si>
    <t>B0126</t>
  </si>
  <si>
    <t>B0315</t>
  </si>
  <si>
    <t>B0249</t>
  </si>
  <si>
    <t>B0191</t>
  </si>
  <si>
    <t>B0425</t>
  </si>
  <si>
    <t>B0189</t>
  </si>
  <si>
    <t>B0174</t>
  </si>
  <si>
    <t>B0490</t>
  </si>
  <si>
    <t>B0216</t>
  </si>
  <si>
    <t>B0182</t>
  </si>
  <si>
    <t>B0211</t>
  </si>
  <si>
    <t>B0022</t>
  </si>
  <si>
    <t>B0313</t>
  </si>
  <si>
    <t>B0141</t>
  </si>
  <si>
    <t>B0275</t>
  </si>
  <si>
    <t>B0499</t>
  </si>
  <si>
    <t>B0423</t>
  </si>
  <si>
    <t>B0459</t>
  </si>
  <si>
    <t>B0395</t>
  </si>
  <si>
    <t>B0125</t>
  </si>
  <si>
    <t>B0057</t>
  </si>
  <si>
    <t>B0168</t>
  </si>
  <si>
    <t>B0035</t>
  </si>
  <si>
    <t>B0475</t>
  </si>
  <si>
    <t>B0214</t>
  </si>
  <si>
    <t>B0165</t>
  </si>
  <si>
    <t>B0362</t>
  </si>
  <si>
    <t>B0142</t>
  </si>
  <si>
    <t>B0167</t>
  </si>
  <si>
    <t>B0338</t>
  </si>
  <si>
    <t>B0268</t>
  </si>
  <si>
    <t>B0296</t>
  </si>
  <si>
    <t>B0473</t>
  </si>
  <si>
    <t>B0282</t>
  </si>
  <si>
    <t>B0470</t>
  </si>
  <si>
    <t>B0476</t>
  </si>
  <si>
    <t>B0500</t>
  </si>
  <si>
    <t>B0178</t>
  </si>
  <si>
    <t>B0234</t>
  </si>
  <si>
    <t>B0093</t>
  </si>
  <si>
    <t>B0422</t>
  </si>
  <si>
    <t>B0158</t>
  </si>
  <si>
    <t>B0241</t>
  </si>
  <si>
    <t>B0431</t>
  </si>
  <si>
    <t>B0405</t>
  </si>
  <si>
    <t>B0464</t>
  </si>
  <si>
    <t>B0412</t>
  </si>
  <si>
    <t>B0311</t>
  </si>
  <si>
    <t>B0014</t>
  </si>
  <si>
    <t>B0140</t>
  </si>
  <si>
    <t>B0153</t>
  </si>
  <si>
    <t>B0016</t>
  </si>
  <si>
    <t>B0440</t>
  </si>
  <si>
    <t>B0281</t>
  </si>
  <si>
    <t>B0172</t>
  </si>
  <si>
    <t>B0352</t>
  </si>
  <si>
    <t>B0318</t>
  </si>
  <si>
    <t>B0488</t>
  </si>
  <si>
    <t>B0157</t>
  </si>
  <si>
    <t>B0240</t>
  </si>
  <si>
    <t>B0472</t>
  </si>
  <si>
    <t>B0038</t>
  </si>
  <si>
    <t>B0206</t>
  </si>
  <si>
    <t>B0468</t>
  </si>
  <si>
    <t>B0410</t>
  </si>
  <si>
    <t>B0257</t>
  </si>
  <si>
    <t>B0102</t>
  </si>
  <si>
    <t>B0004</t>
  </si>
  <si>
    <t>B0133</t>
  </si>
  <si>
    <t>B0496</t>
  </si>
  <si>
    <t>B0186</t>
  </si>
  <si>
    <t>B0454</t>
  </si>
  <si>
    <t>B0139</t>
  </si>
  <si>
    <t>B0377</t>
  </si>
  <si>
    <t>B0154</t>
  </si>
  <si>
    <t>B0407</t>
  </si>
  <si>
    <t>B0285</t>
  </si>
  <si>
    <t>B0113</t>
  </si>
  <si>
    <t>B0193</t>
  </si>
  <si>
    <t>B0094</t>
  </si>
  <si>
    <t>B0290</t>
  </si>
  <si>
    <t>B0370</t>
  </si>
  <si>
    <t>B0481</t>
  </si>
  <si>
    <t>B0047</t>
  </si>
  <si>
    <t>B0479</t>
  </si>
  <si>
    <t>B0123</t>
  </si>
  <si>
    <t>B0337</t>
  </si>
  <si>
    <t>B0026</t>
  </si>
  <si>
    <t>B0170</t>
  </si>
  <si>
    <t>B0096</t>
  </si>
  <si>
    <t>B0225</t>
  </si>
  <si>
    <t>B0445</t>
  </si>
  <si>
    <t>B0118</t>
  </si>
  <si>
    <t>B0213</t>
  </si>
  <si>
    <t>B0260</t>
  </si>
  <si>
    <t>B0012</t>
  </si>
  <si>
    <t>B0489</t>
  </si>
  <si>
    <t>B0456</t>
  </si>
  <si>
    <t>B0497</t>
  </si>
  <si>
    <t>B0005</t>
  </si>
  <si>
    <t>B0106</t>
  </si>
  <si>
    <t>B0109</t>
  </si>
  <si>
    <t>B0043</t>
  </si>
  <si>
    <t>B0112</t>
  </si>
  <si>
    <t>B0217</t>
  </si>
  <si>
    <t>B0218</t>
  </si>
  <si>
    <t>B0058</t>
  </si>
  <si>
    <t>B0339</t>
  </si>
  <si>
    <t>B0232</t>
  </si>
  <si>
    <t>B0430</t>
  </si>
  <si>
    <t>B0197</t>
  </si>
  <si>
    <t>B0235</t>
  </si>
  <si>
    <t>B0243</t>
  </si>
  <si>
    <t>B0307</t>
  </si>
  <si>
    <t>B0104</t>
  </si>
  <si>
    <t>B0017</t>
  </si>
  <si>
    <t>B0441</t>
  </si>
  <si>
    <t>B0447</t>
  </si>
  <si>
    <t>B0279</t>
  </si>
  <si>
    <t>B0273</t>
  </si>
  <si>
    <t>B0227</t>
  </si>
  <si>
    <t>B0046</t>
  </si>
  <si>
    <t>B0151</t>
  </si>
  <si>
    <t>B0376</t>
  </si>
  <si>
    <t>B0201</t>
  </si>
  <si>
    <t>B0070</t>
  </si>
  <si>
    <t>B0495</t>
  </si>
  <si>
    <t>B0258</t>
  </si>
  <si>
    <t>B0262</t>
  </si>
  <si>
    <t>B0267</t>
  </si>
  <si>
    <t>B0402</t>
  </si>
  <si>
    <t>B0324</t>
  </si>
  <si>
    <t>B0060</t>
  </si>
  <si>
    <t>B0332</t>
  </si>
  <si>
    <t>B0301</t>
  </si>
  <si>
    <t>B0127</t>
  </si>
  <si>
    <t>B0348</t>
  </si>
  <si>
    <t>B0082</t>
  </si>
  <si>
    <t>B0176</t>
  </si>
  <si>
    <t>B0086</t>
  </si>
  <si>
    <t>B0433</t>
  </si>
  <si>
    <t>B0223</t>
  </si>
  <si>
    <t>B0134</t>
  </si>
  <si>
    <t>B0435</t>
  </si>
  <si>
    <t>B0319</t>
  </si>
  <si>
    <t>B0129</t>
  </si>
  <si>
    <t>B0330</t>
  </si>
  <si>
    <t>B0467</t>
  </si>
  <si>
    <t>B0383</t>
  </si>
  <si>
    <t>B0493</t>
  </si>
  <si>
    <t>B0008</t>
  </si>
  <si>
    <t>B0075</t>
  </si>
  <si>
    <t>B0305</t>
  </si>
  <si>
    <t>B0144</t>
  </si>
  <si>
    <t>B0073</t>
  </si>
  <si>
    <t>B0439</t>
  </si>
  <si>
    <t>B0347</t>
  </si>
  <si>
    <t>B0457</t>
  </si>
  <si>
    <t>B0432</t>
  </si>
  <si>
    <t>B0136</t>
  </si>
  <si>
    <t>B0404</t>
  </si>
  <si>
    <t>B0388</t>
  </si>
  <si>
    <t>B0343</t>
  </si>
  <si>
    <t>B0200</t>
  </si>
  <si>
    <t>B0416</t>
  </si>
  <si>
    <t>B0462</t>
  </si>
  <si>
    <t>B0162</t>
  </si>
  <si>
    <t>B0354</t>
  </si>
  <si>
    <t>B0436</t>
  </si>
  <si>
    <t>B0389</t>
  </si>
  <si>
    <t>B0494</t>
  </si>
  <si>
    <t>B0449</t>
  </si>
  <si>
    <t>B0212</t>
  </si>
  <si>
    <t>B0003</t>
  </si>
  <si>
    <t>B0391</t>
  </si>
  <si>
    <t>B0077</t>
  </si>
  <si>
    <t>B0161</t>
  </si>
  <si>
    <t>B0115</t>
  </si>
  <si>
    <t>B0150</t>
  </si>
  <si>
    <t>B0152</t>
  </si>
  <si>
    <t>B0385</t>
  </si>
  <si>
    <t>B0105</t>
  </si>
  <si>
    <t>B0438</t>
  </si>
  <si>
    <t>B0135</t>
  </si>
  <si>
    <t>B0278</t>
  </si>
  <si>
    <t>B0122</t>
  </si>
  <si>
    <t>B0361</t>
  </si>
  <si>
    <t>B0450</t>
  </si>
  <si>
    <t>B0019</t>
  </si>
  <si>
    <t>B0173</t>
  </si>
  <si>
    <t>B0056</t>
  </si>
  <si>
    <t>B0484</t>
  </si>
  <si>
    <t>B0427</t>
  </si>
  <si>
    <t>B0400</t>
  </si>
  <si>
    <t>B0029</t>
  </si>
  <si>
    <t>B0334</t>
  </si>
  <si>
    <t>B0224</t>
  </si>
  <si>
    <t>B0357</t>
  </si>
  <si>
    <t>B0024</t>
  </si>
  <si>
    <t>B0228</t>
  </si>
  <si>
    <t>B0360</t>
  </si>
  <si>
    <t>B0341</t>
  </si>
  <si>
    <t>B0108</t>
  </si>
  <si>
    <t>B0263</t>
  </si>
  <si>
    <t>B0099</t>
  </si>
  <si>
    <t>B0192</t>
  </si>
  <si>
    <t>B0317</t>
  </si>
  <si>
    <t>B0059</t>
  </si>
  <si>
    <t>B0088</t>
  </si>
  <si>
    <t>B0312</t>
  </si>
  <si>
    <t>B0276</t>
  </si>
  <si>
    <t>B0265</t>
  </si>
  <si>
    <t>B0325</t>
  </si>
  <si>
    <t>B0378</t>
  </si>
  <si>
    <t>B0299</t>
  </si>
  <si>
    <t>B0120</t>
  </si>
  <si>
    <t>B0371</t>
  </si>
  <si>
    <t>B0051</t>
  </si>
  <si>
    <t>B0196</t>
  </si>
  <si>
    <t>B0195</t>
  </si>
  <si>
    <t>B0188</t>
  </si>
  <si>
    <t>B0417</t>
  </si>
  <si>
    <t>B0062</t>
  </si>
  <si>
    <t>B0207</t>
  </si>
  <si>
    <t>B0434</t>
  </si>
  <si>
    <t>B0498</t>
  </si>
  <si>
    <t>B0302</t>
  </si>
  <si>
    <t>B0180</t>
  </si>
  <si>
    <t>B0259</t>
  </si>
  <si>
    <t>B0366</t>
  </si>
  <si>
    <t>B0331</t>
  </si>
  <si>
    <t>B0055</t>
  </si>
  <si>
    <t>B0482</t>
  </si>
  <si>
    <t>B0446</t>
  </si>
  <si>
    <t>B0023</t>
  </si>
  <si>
    <t>B0316</t>
  </si>
  <si>
    <t>B0266</t>
  </si>
  <si>
    <t>B0255</t>
  </si>
  <si>
    <t>B0328</t>
  </si>
  <si>
    <t>B0015</t>
  </si>
  <si>
    <t>B0381</t>
  </si>
  <si>
    <t>B0270</t>
  </si>
  <si>
    <t>B0353</t>
  </si>
  <si>
    <t>B0078</t>
  </si>
  <si>
    <t>B0159</t>
  </si>
  <si>
    <t>B0181</t>
  </si>
  <si>
    <t>B0420</t>
  </si>
  <si>
    <t>B0044</t>
  </si>
  <si>
    <t>B0463</t>
  </si>
  <si>
    <t>B0247</t>
  </si>
  <si>
    <t>B0184</t>
  </si>
  <si>
    <t>B0245</t>
  </si>
  <si>
    <t>B0048</t>
  </si>
  <si>
    <t>B0424</t>
  </si>
  <si>
    <t>B0110</t>
  </si>
  <si>
    <t>B0437</t>
  </si>
  <si>
    <t>B0079</t>
  </si>
  <si>
    <t>B0066</t>
  </si>
  <si>
    <t>B0374</t>
  </si>
  <si>
    <t>B0183</t>
  </si>
  <si>
    <t>B0248</t>
  </si>
  <si>
    <t>B0274</t>
  </si>
  <si>
    <t>B0335</t>
  </si>
  <si>
    <t>B0251</t>
  </si>
  <si>
    <t>B0340</t>
  </si>
  <si>
    <t>B0297</t>
  </si>
  <si>
    <t>B0199</t>
  </si>
  <si>
    <t>B0147</t>
  </si>
  <si>
    <t>B0364</t>
  </si>
  <si>
    <t>B0041</t>
  </si>
  <si>
    <t>B0222</t>
  </si>
  <si>
    <t>B0421</t>
  </si>
  <si>
    <t>B0149</t>
  </si>
  <si>
    <t>B0264</t>
  </si>
  <si>
    <t>B0205</t>
  </si>
  <si>
    <t>B0428</t>
  </si>
  <si>
    <t>B0346</t>
  </si>
  <si>
    <t>B0426</t>
  </si>
  <si>
    <t>B0085</t>
  </si>
  <si>
    <t>B0308</t>
  </si>
  <si>
    <t>B0226</t>
  </si>
  <si>
    <t>B0415</t>
  </si>
  <si>
    <t>B0310</t>
  </si>
  <si>
    <t>B0187</t>
  </si>
  <si>
    <t>B0175</t>
  </si>
  <si>
    <t>B0061</t>
  </si>
  <si>
    <t>B0100</t>
  </si>
  <si>
    <t>B0477</t>
  </si>
  <si>
    <t>B0080</t>
  </si>
  <si>
    <t>B0252</t>
  </si>
  <si>
    <t>B0466</t>
  </si>
  <si>
    <t>B0344</t>
  </si>
  <si>
    <t>B0298</t>
  </si>
  <si>
    <t>B0074</t>
  </si>
  <si>
    <t>B0137</t>
  </si>
  <si>
    <t>B0148</t>
  </si>
  <si>
    <t>B0021</t>
  </si>
  <si>
    <t>B0413</t>
  </si>
  <si>
    <t>B0071</t>
  </si>
  <si>
    <t>B0210</t>
  </si>
  <si>
    <t>B0478</t>
  </si>
  <si>
    <t>B0233</t>
  </si>
  <si>
    <t>B0103</t>
  </si>
  <si>
    <t>B0130</t>
  </si>
  <si>
    <t>B0236</t>
  </si>
  <si>
    <t>B0054</t>
  </si>
  <si>
    <t>B0398</t>
  </si>
  <si>
    <t>B0034</t>
  </si>
  <si>
    <t>B0292</t>
  </si>
  <si>
    <t>B0221</t>
  </si>
  <si>
    <t>B0369</t>
  </si>
  <si>
    <t>B0486</t>
  </si>
  <si>
    <t>B0039</t>
  </si>
  <si>
    <t>B0229</t>
  </si>
  <si>
    <t>B0397</t>
  </si>
  <si>
    <t>B0239</t>
  </si>
  <si>
    <t>B0121</t>
  </si>
  <si>
    <t>B0365</t>
  </si>
  <si>
    <t>B0087</t>
  </si>
  <si>
    <t>B0396</t>
  </si>
  <si>
    <t>B0295</t>
  </si>
  <si>
    <t>B0277</t>
  </si>
  <si>
    <t>B0208</t>
  </si>
  <si>
    <t>B0256</t>
  </si>
  <si>
    <t>B0284</t>
  </si>
  <si>
    <t>B0306</t>
  </si>
  <si>
    <t>B0372</t>
  </si>
  <si>
    <t>B0143</t>
  </si>
  <si>
    <t>B0081</t>
  </si>
  <si>
    <t>B0327</t>
  </si>
  <si>
    <t>B0128</t>
  </si>
  <si>
    <t>B0119</t>
  </si>
  <si>
    <t>B0393</t>
  </si>
  <si>
    <t>B0386</t>
  </si>
  <si>
    <t>B0399</t>
  </si>
  <si>
    <t>B0406</t>
  </si>
  <si>
    <t>B0037</t>
  </si>
  <si>
    <t>B0124</t>
  </si>
  <si>
    <t>B0461</t>
  </si>
  <si>
    <t>B0040</t>
  </si>
  <si>
    <t>B0063</t>
  </si>
  <si>
    <t>B0382</t>
  </si>
  <si>
    <t>B0271</t>
  </si>
  <si>
    <t>B0414</t>
  </si>
  <si>
    <t>B0368</t>
  </si>
  <si>
    <t>B0288</t>
  </si>
  <si>
    <t>B0215</t>
  </si>
  <si>
    <t>B0380</t>
  </si>
  <si>
    <t>B0231</t>
  </si>
  <si>
    <t>B0465</t>
  </si>
  <si>
    <t>B0067</t>
  </si>
  <si>
    <t>B0336</t>
  </si>
  <si>
    <t>B0246</t>
  </si>
  <si>
    <t>B0444</t>
  </si>
  <si>
    <t>B0253</t>
  </si>
  <si>
    <t>B0042</t>
  </si>
  <si>
    <t>B0219</t>
  </si>
  <si>
    <t>B0068</t>
  </si>
  <si>
    <t>B0455</t>
  </si>
  <si>
    <t>B0451</t>
  </si>
  <si>
    <t>B0460</t>
  </si>
  <si>
    <t>B0379</t>
  </si>
  <si>
    <t>B0145</t>
  </si>
  <si>
    <t>B0345</t>
  </si>
  <si>
    <t>B0011</t>
  </si>
  <si>
    <t>B0359</t>
  </si>
  <si>
    <t>B0155</t>
  </si>
  <si>
    <t>B0491</t>
  </si>
  <si>
    <t>B0349</t>
  </si>
  <si>
    <t>B0326</t>
  </si>
  <si>
    <t>B0289</t>
  </si>
  <si>
    <t>B0166</t>
  </si>
  <si>
    <t>B0323</t>
  </si>
  <si>
    <t>B0030</t>
  </si>
  <si>
    <t>B0069</t>
  </si>
  <si>
    <t>B0403</t>
  </si>
  <si>
    <t>B0031</t>
  </si>
  <si>
    <t>B0185</t>
  </si>
  <si>
    <t>B0132</t>
  </si>
  <si>
    <t>B0269</t>
  </si>
  <si>
    <t>B0329</t>
  </si>
  <si>
    <t>B0309</t>
  </si>
  <si>
    <t>B0131</t>
  </si>
  <si>
    <t>B0356</t>
  </si>
  <si>
    <t>B0163</t>
  </si>
  <si>
    <t>B0387</t>
  </si>
  <si>
    <t>B0064</t>
  </si>
  <si>
    <t>B0453</t>
  </si>
  <si>
    <t>B0076</t>
  </si>
  <si>
    <t>B0091</t>
  </si>
  <si>
    <t>B0084</t>
  </si>
  <si>
    <t>B0358</t>
  </si>
  <si>
    <t>B0050</t>
  </si>
  <si>
    <t>B0111</t>
  </si>
  <si>
    <t>B0002</t>
  </si>
  <si>
    <t>B0303</t>
  </si>
  <si>
    <t>B0072</t>
  </si>
  <si>
    <t>B0025</t>
  </si>
  <si>
    <t>B0261</t>
  </si>
  <si>
    <t>B0202</t>
  </si>
  <si>
    <t>B0401</t>
  </si>
  <si>
    <t>B0320</t>
  </si>
  <si>
    <t>C0223</t>
  </si>
  <si>
    <t>C0167</t>
  </si>
  <si>
    <t>C0158</t>
  </si>
  <si>
    <t>C0340</t>
  </si>
  <si>
    <t>C0136</t>
  </si>
  <si>
    <t>C0155</t>
  </si>
  <si>
    <t>C0343</t>
  </si>
  <si>
    <t>C0134</t>
  </si>
  <si>
    <t>C0338</t>
  </si>
  <si>
    <t>C0236</t>
  </si>
  <si>
    <t>C0247</t>
  </si>
  <si>
    <t>C0246</t>
  </si>
  <si>
    <t>C0346</t>
  </si>
  <si>
    <t>C0143</t>
  </si>
  <si>
    <t>C0069</t>
  </si>
  <si>
    <t>C0311</t>
  </si>
  <si>
    <t>C0179</t>
  </si>
  <si>
    <t>C0154</t>
  </si>
  <si>
    <t>C0222</t>
  </si>
  <si>
    <t>C0004</t>
  </si>
  <si>
    <t>C0148</t>
  </si>
  <si>
    <t>C0283</t>
  </si>
  <si>
    <t>C0288</t>
  </si>
  <si>
    <t>C0002</t>
  </si>
  <si>
    <t>C0275</t>
  </si>
  <si>
    <t>C0308</t>
  </si>
  <si>
    <t>C0194</t>
  </si>
  <si>
    <t>C0342</t>
  </si>
  <si>
    <t>C0063</t>
  </si>
  <si>
    <t>C0172</t>
  </si>
  <si>
    <t>C0044</t>
  </si>
  <si>
    <t>C0319</t>
  </si>
  <si>
    <t>C0101</t>
  </si>
  <si>
    <t>C0103</t>
  </si>
  <si>
    <t>C0216</t>
  </si>
  <si>
    <t>C0301</t>
  </si>
  <si>
    <t>C0224</t>
  </si>
  <si>
    <t>C0058</t>
  </si>
  <si>
    <t>C0316</t>
  </si>
  <si>
    <t>C0326</t>
  </si>
  <si>
    <t>C0258</t>
  </si>
  <si>
    <t>C0051</t>
  </si>
  <si>
    <t>C0122</t>
  </si>
  <si>
    <t>C0099</t>
  </si>
  <si>
    <t>C0180</t>
  </si>
  <si>
    <t>C0345</t>
  </si>
  <si>
    <t>C0336</t>
  </si>
  <si>
    <t>C0189</t>
  </si>
  <si>
    <t>C0285</t>
  </si>
  <si>
    <t>C0264</t>
  </si>
  <si>
    <t>C0135</t>
  </si>
  <si>
    <t>C0310</t>
  </si>
  <si>
    <t>C0075</t>
  </si>
  <si>
    <t>C0116</t>
  </si>
  <si>
    <t>C0113</t>
  </si>
  <si>
    <t>C0188</t>
  </si>
  <si>
    <t>C0280</t>
  </si>
  <si>
    <t>C0053</t>
  </si>
  <si>
    <t>C0215</t>
  </si>
  <si>
    <t>C0015</t>
  </si>
  <si>
    <t>C0344</t>
  </si>
  <si>
    <t>C0153</t>
  </si>
  <si>
    <t>C0147</t>
  </si>
  <si>
    <t>C0220</t>
  </si>
  <si>
    <t>C0114</t>
  </si>
  <si>
    <t>C0199</t>
  </si>
  <si>
    <t>C0294</t>
  </si>
  <si>
    <t>C0277</t>
  </si>
  <si>
    <t>C0169</t>
  </si>
  <si>
    <t>C0195</t>
  </si>
  <si>
    <t>C0267</t>
  </si>
  <si>
    <t>C0021</t>
  </si>
  <si>
    <t>C0100</t>
  </si>
  <si>
    <t>C0014</t>
  </si>
  <si>
    <t>C0271</t>
  </si>
  <si>
    <t>C0204</t>
  </si>
  <si>
    <t>C0052</t>
  </si>
  <si>
    <t>C0307</t>
  </si>
  <si>
    <t>C0128</t>
  </si>
  <si>
    <t>C0208</t>
  </si>
  <si>
    <t>C0269</t>
  </si>
  <si>
    <t>C0018</t>
  </si>
  <si>
    <t>C0144</t>
  </si>
  <si>
    <t>C0165</t>
  </si>
  <si>
    <t>C0163</t>
  </si>
  <si>
    <t>C0160</t>
  </si>
  <si>
    <t>C0192</t>
  </si>
  <si>
    <t>C0255</t>
  </si>
  <si>
    <t>C0252</t>
  </si>
  <si>
    <t>C0268</t>
  </si>
  <si>
    <t>C0318</t>
  </si>
  <si>
    <t>C0198</t>
  </si>
  <si>
    <t>C0184</t>
  </si>
  <si>
    <t>C0152</t>
  </si>
  <si>
    <t>C0304</t>
  </si>
  <si>
    <t>C0043</t>
  </si>
  <si>
    <t>C0229</t>
  </si>
  <si>
    <t>C0218</t>
  </si>
  <si>
    <t>C0035</t>
  </si>
  <si>
    <t>C0225</t>
  </si>
  <si>
    <t>C0175</t>
  </si>
  <si>
    <t>C0250</t>
  </si>
  <si>
    <t>C0324</t>
  </si>
  <si>
    <t>C0348</t>
  </si>
  <si>
    <t>C0170</t>
  </si>
  <si>
    <t>C0171</t>
  </si>
  <si>
    <t>C0190</t>
  </si>
  <si>
    <t>C0161</t>
  </si>
  <si>
    <t>C0054</t>
  </si>
  <si>
    <t>C0033</t>
  </si>
  <si>
    <t>C0325</t>
  </si>
  <si>
    <t>C0327</t>
  </si>
  <si>
    <t>C0028</t>
  </si>
  <si>
    <t>C0039</t>
  </si>
  <si>
    <t>C0001</t>
  </si>
  <si>
    <t>C0262</t>
  </si>
  <si>
    <t>C0254</t>
  </si>
  <si>
    <t>C0124</t>
  </si>
  <si>
    <t>C0284</t>
  </si>
  <si>
    <t>C0237</t>
  </si>
  <si>
    <t>C0150</t>
  </si>
  <si>
    <t>C0272</t>
  </si>
  <si>
    <t>C0349</t>
  </si>
  <si>
    <t>C0233</t>
  </si>
  <si>
    <t>C0049</t>
  </si>
  <si>
    <t>C0290</t>
  </si>
  <si>
    <t>C0244</t>
  </si>
  <si>
    <t>C0126</t>
  </si>
  <si>
    <t>C0010</t>
  </si>
  <si>
    <t>C0140</t>
  </si>
  <si>
    <t>C0289</t>
  </si>
  <si>
    <t>C0107</t>
  </si>
  <si>
    <t>C0065</t>
  </si>
  <si>
    <t>C0231</t>
  </si>
  <si>
    <t>C0322</t>
  </si>
  <si>
    <t>C0045</t>
  </si>
  <si>
    <t>C0047</t>
  </si>
  <si>
    <t>C0062</t>
  </si>
  <si>
    <t>C0009</t>
  </si>
  <si>
    <t>C0173</t>
  </si>
  <si>
    <t>C0016</t>
  </si>
  <si>
    <t>C0089</t>
  </si>
  <si>
    <t>C0257</t>
  </si>
  <si>
    <t>C0253</t>
  </si>
  <si>
    <t>C0121</t>
  </si>
  <si>
    <t>C0129</t>
  </si>
  <si>
    <t>C0214</t>
  </si>
  <si>
    <t>C0088</t>
  </si>
  <si>
    <t>C0178</t>
  </si>
  <si>
    <t>C0094</t>
  </si>
  <si>
    <t>C0168</t>
  </si>
  <si>
    <t>C0072</t>
  </si>
  <si>
    <t>C0328</t>
  </si>
  <si>
    <t>C0048</t>
  </si>
  <si>
    <t>C0123</t>
  </si>
  <si>
    <t>C0206</t>
  </si>
  <si>
    <t>C0256</t>
  </si>
  <si>
    <t>C0259</t>
  </si>
  <si>
    <t>C0187</t>
  </si>
  <si>
    <t>C0226</t>
  </si>
  <si>
    <t>C0309</t>
  </si>
  <si>
    <t>C0076</t>
  </si>
  <si>
    <t>C0201</t>
  </si>
  <si>
    <t>C0274</t>
  </si>
  <si>
    <t>C0092</t>
  </si>
  <si>
    <t>C0202</t>
  </si>
  <si>
    <t>C0323</t>
  </si>
  <si>
    <t>C0037</t>
  </si>
  <si>
    <t>C0005</t>
  </si>
  <si>
    <t>C0006</t>
  </si>
  <si>
    <t>C0050</t>
  </si>
  <si>
    <t>C0095</t>
  </si>
  <si>
    <t>C0038</t>
  </si>
  <si>
    <t>C0174</t>
  </si>
  <si>
    <t>C0017</t>
  </si>
  <si>
    <t>C0302</t>
  </si>
  <si>
    <t>C0186</t>
  </si>
  <si>
    <t>C0036</t>
  </si>
  <si>
    <t>C0238</t>
  </si>
  <si>
    <t>C0239</t>
  </si>
  <si>
    <t>C0196</t>
  </si>
  <si>
    <t>C0314</t>
  </si>
  <si>
    <t>C0281</t>
  </si>
  <si>
    <t>C0130</t>
  </si>
  <si>
    <t>C0145</t>
  </si>
  <si>
    <t>C0286</t>
  </si>
  <si>
    <t>C0127</t>
  </si>
  <si>
    <t>C0118</t>
  </si>
  <si>
    <t>C0305</t>
  </si>
  <si>
    <t>C0296</t>
  </si>
  <si>
    <t>C0293</t>
  </si>
  <si>
    <t>C0086</t>
  </si>
  <si>
    <t>C0066</t>
  </si>
  <si>
    <t>C0041</t>
  </si>
  <si>
    <t>C0241</t>
  </si>
  <si>
    <t>C0112</t>
  </si>
  <si>
    <t>C0131</t>
  </si>
  <si>
    <t>C0060</t>
  </si>
  <si>
    <t>C0240</t>
  </si>
  <si>
    <t>C0104</t>
  </si>
  <si>
    <t>C0176</t>
  </si>
  <si>
    <t>C0139</t>
  </si>
  <si>
    <t>C0295</t>
  </si>
  <si>
    <t>C0081</t>
  </si>
  <si>
    <t>C0157</t>
  </si>
  <si>
    <t>C0317</t>
  </si>
  <si>
    <t>C0227</t>
  </si>
  <si>
    <t>C0020</t>
  </si>
  <si>
    <t>C0265</t>
  </si>
  <si>
    <t>C0120</t>
  </si>
  <si>
    <t>C0096</t>
  </si>
  <si>
    <t>C0330</t>
  </si>
  <si>
    <t>C0230</t>
  </si>
  <si>
    <t>C0234</t>
  </si>
  <si>
    <t>C0013</t>
  </si>
  <si>
    <t>C0181</t>
  </si>
  <si>
    <t>C0151</t>
  </si>
  <si>
    <t>C0213</t>
  </si>
  <si>
    <t>C0108</t>
  </si>
  <si>
    <t>C0329</t>
  </si>
  <si>
    <t>C0117</t>
  </si>
  <si>
    <t>C0191</t>
  </si>
  <si>
    <t>C0142</t>
  </si>
  <si>
    <t>C0315</t>
  </si>
  <si>
    <t>C0263</t>
  </si>
  <si>
    <t>C0026</t>
  </si>
  <si>
    <t>C0098</t>
  </si>
  <si>
    <t>C0243</t>
  </si>
  <si>
    <t>C0279</t>
  </si>
  <si>
    <t>C0097</t>
  </si>
  <si>
    <t>C0137</t>
  </si>
  <si>
    <t>C0023</t>
  </si>
  <si>
    <t>C0022</t>
  </si>
  <si>
    <t>C0106</t>
  </si>
  <si>
    <t>C0270</t>
  </si>
  <si>
    <t>C0261</t>
  </si>
  <si>
    <t>C0320</t>
  </si>
  <si>
    <t>C0306</t>
  </si>
  <si>
    <t>C0027</t>
  </si>
  <si>
    <t>C0321</t>
  </si>
  <si>
    <t>C0029</t>
  </si>
  <si>
    <t>C0207</t>
  </si>
  <si>
    <t>C0125</t>
  </si>
  <si>
    <t>C0350</t>
  </si>
  <si>
    <t>C0055</t>
  </si>
  <si>
    <t>C0313</t>
  </si>
  <si>
    <t>C0203</t>
  </si>
  <si>
    <t>C0298</t>
  </si>
  <si>
    <t>C0278</t>
  </si>
  <si>
    <t>C0185</t>
  </si>
  <si>
    <t>C0341</t>
  </si>
  <si>
    <t>C0331</t>
  </si>
  <si>
    <t>C0068</t>
  </si>
  <si>
    <t>C0046</t>
  </si>
  <si>
    <t>C0059</t>
  </si>
  <si>
    <t>C0162</t>
  </si>
  <si>
    <t>C0042</t>
  </si>
  <si>
    <t>C0273</t>
  </si>
  <si>
    <t>C0260</t>
  </si>
  <si>
    <t>C0217</t>
  </si>
  <si>
    <t>C0299</t>
  </si>
  <si>
    <t>C0242</t>
  </si>
  <si>
    <t>Suite</t>
  </si>
  <si>
    <t>Standard</t>
  </si>
  <si>
    <t>Deluxe</t>
  </si>
  <si>
    <t>Returning</t>
  </si>
  <si>
    <t>New</t>
  </si>
  <si>
    <t>Direct</t>
  </si>
  <si>
    <t>Online</t>
  </si>
  <si>
    <t>Travel Agent</t>
  </si>
  <si>
    <t>Tokyo</t>
  </si>
  <si>
    <t>Osaka</t>
  </si>
  <si>
    <t>Saitama</t>
  </si>
  <si>
    <t>Chiba</t>
  </si>
  <si>
    <t>Nagoya</t>
  </si>
  <si>
    <t>Yokohama</t>
  </si>
  <si>
    <t>Stay_Nights</t>
    <phoneticPr fontId="2"/>
  </si>
  <si>
    <t>Room_Revenue</t>
    <phoneticPr fontId="2"/>
  </si>
  <si>
    <t>Total_Revenue</t>
    <phoneticPr fontId="2"/>
  </si>
  <si>
    <t>総計</t>
  </si>
  <si>
    <t>合計 / Total_Revenue</t>
  </si>
  <si>
    <t>行ラベル</t>
  </si>
  <si>
    <t>個数 / Booking_ID</t>
  </si>
  <si>
    <t>平均 / Total_Revenue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</si>
  <si>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</si>
  <si>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</si>
  <si>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</si>
  <si>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</si>
  <si>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</si>
  <si>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</si>
  <si>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</si>
  <si>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</si>
  <si>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</si>
  <si>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</si>
  <si>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</si>
  <si>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</si>
  <si>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(すべて)</t>
  </si>
  <si>
    <t>合計 / Total_Revenue2</t>
  </si>
  <si>
    <t>平均 / Total_Revenue2</t>
  </si>
  <si>
    <t>Which room type generates the most total revenue?</t>
    <phoneticPr fontId="2"/>
  </si>
  <si>
    <t>why Deluxe generated the most revenue.</t>
    <phoneticPr fontId="2"/>
  </si>
  <si>
    <t>Which room type generates the highest revenue per booking on average?</t>
    <phoneticPr fontId="2"/>
  </si>
  <si>
    <t>Customer Behavior</t>
    <phoneticPr fontId="2"/>
  </si>
  <si>
    <t>Which booking channel generates the most revenue?</t>
    <phoneticPr fontId="2"/>
  </si>
  <si>
    <t>Monthly revenue</t>
    <phoneticPr fontId="2"/>
  </si>
  <si>
    <t>Monthly Booking Count</t>
    <phoneticPr fontId="2"/>
  </si>
  <si>
    <t>Average Revenue per Booking by Month</t>
    <phoneticPr fontId="2"/>
  </si>
  <si>
    <t>why July's bookings were more valuable</t>
    <phoneticPr fontId="2"/>
  </si>
  <si>
    <t>booking channels in July.</t>
    <phoneticPr fontId="2"/>
  </si>
  <si>
    <t>customer type in July</t>
    <phoneticPr fontId="2"/>
  </si>
  <si>
    <t>Revenue by Room Type</t>
    <phoneticPr fontId="2"/>
  </si>
  <si>
    <t>Monthly Revenue</t>
    <phoneticPr fontId="2"/>
  </si>
  <si>
    <t>KPI</t>
    <phoneticPr fontId="2"/>
  </si>
  <si>
    <t>Value</t>
    <phoneticPr fontId="2"/>
  </si>
  <si>
    <t>Total Bookings</t>
    <phoneticPr fontId="2"/>
  </si>
  <si>
    <t xml:space="preserve">Total Revenue </t>
    <phoneticPr fontId="2"/>
  </si>
  <si>
    <t>Average Revenue Per Booking</t>
    <phoneticPr fontId="2"/>
  </si>
  <si>
    <t>Highest Revenue Month</t>
    <phoneticPr fontId="2"/>
  </si>
  <si>
    <t xml:space="preserve">Lowest Revenue Month </t>
    <phoneticPr fontId="2"/>
  </si>
  <si>
    <t>Key Business Insights:</t>
    <phoneticPr fontId="2"/>
  </si>
  <si>
    <t>Room Type</t>
    <phoneticPr fontId="2"/>
  </si>
  <si>
    <t>Average Revenue</t>
    <phoneticPr fontId="2"/>
  </si>
  <si>
    <t>March had the highest average revenue per booking at ¥73,040.82, while December had the lowest at ¥56,552.63.</t>
    <phoneticPr fontId="2"/>
  </si>
  <si>
    <t>Booking Channel</t>
    <phoneticPr fontId="2"/>
  </si>
  <si>
    <t>Online bookings generated the highest revenue among the three booking channels, indicating that the online channel was the largest revenue source in this dataset.</t>
    <phoneticPr fontId="2"/>
  </si>
  <si>
    <t>Overall</t>
    <phoneticPr fontId="2"/>
  </si>
  <si>
    <t>The dataset contains 500 bookings with total revenue of ¥33,998,000 and an average revenue of ¥67,996 per booking.</t>
    <phoneticPr fontId="2"/>
  </si>
  <si>
    <t>July generated the highest monthly revenue at ¥3,930,500, 
while December had the lowest at ¥1,074,500. 
This indicates substantial variation in hotel revenue across months.</t>
    <phoneticPr fontId="2"/>
  </si>
  <si>
    <t>Deluxe rooms generated the highest overall revenue at ¥12,852,500, followed by Standard at ¥12,376,000. Suite generated ¥8,769,500, the lowest total revenue among the three room types.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</si>
</sst>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\ hh:mm:ss"/>
    <numFmt numFmtId="177" formatCode="[$¥-411]#,##0_);\([$¥-411]#,##0\)"/>
  </numFmts>
  <fonts count="7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scheme val="minor"/>
    </font>
    <font>
      <sz val="11"/>
      <color theme="1"/>
      <name val="ＭＳ Ｐゴシック"/>
      <scheme val="minor"/>
    </font>
    <font>
      <i/>
      <sz val="11"/>
      <color theme="1"/>
      <name val="ＭＳ Ｐゴシック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38" fontId="3" fillId="0" borderId="0" applyFont="0" applyFill="0" applyBorder="0" applyAlignment="0" applyProtection="0">
      <alignment vertical="center"/>
    </xf>
  </cellStyleXfs>
  <cellXfs count="18">
    <xf numFmtId="0" fontId="0" fillId="0" borderId="0" xfId="0"/>
    <xf numFmtId="176" fontId="0" fillId="0" borderId="0" xfId="0" applyNumberFormat="1"/>
    <xf numFmtId="14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2" xfId="0" applyBorder="1" applyAlignment="1">
      <alignment horizontal="left"/>
    </xf>
    <xf numFmtId="0" fontId="4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77" fontId="0" fillId="0" borderId="2" xfId="1" applyNumberFormat="1" applyFont="1" applyBorder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0" fillId="0" borderId="0" xfId="0" applyNumberFormat="1"/>
  </cellXfs>
  <cellStyles count="2">
    <cellStyle name="桁区切り" xfId="1" builtinId="6"/>
    <cellStyle name="標準" xfId="0" builtinId="0"/>
  </cellStyles>
  <dxfs count="10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76" formatCode="yyyy\-mm\-dd\ hh:mm:ss"/>
    </dxf>
    <dxf>
      <numFmt numFmtId="176" formatCode="yyyy\-mm\-dd\ hh:mm:ss"/>
    </dxf>
    <dxf>
      <numFmt numFmtId="19" formatCode="yyyy/m/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ＭＳ Ｐゴシック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[hotel_sales_cleaned.xlsx]Most Revenue Booking Channel!ピボットテーブル5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Revenue by Booking Channel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'Most Revenue Booking Channel'!$B$3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'Most Revenue Booking Channel'!$A$4:$A$7</c:f>
              <c:strCache>
                <c:ptCount val="3"/>
                <c:pt idx="0">
                  <c:v>Direct</c:v>
                </c:pt>
                <c:pt idx="1">
                  <c:v>Online</c:v>
                </c:pt>
                <c:pt idx="2">
                  <c:v>Travel Agent</c:v>
                </c:pt>
              </c:strCache>
            </c:strRef>
          </c:cat>
          <c:val>
            <c:numRef>
              <c:f>'Most Revenue Booking Channel'!$B$4:$B$7</c:f>
              <c:numCache>
                <c:formatCode>General</c:formatCode>
                <c:ptCount val="3"/>
                <c:pt idx="0">
                  <c:v>8136500</c:v>
                </c:pt>
                <c:pt idx="1">
                  <c:v>17573500</c:v>
                </c:pt>
                <c:pt idx="2">
                  <c:v>8288000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C-4E43-AC00-82A08DFF84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9219535"/>
        <c:axId val="2281487"/>
      </c:barChart>
      <c:catAx>
        <c:axId val="992195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81487"/>
        <c:crosses val="autoZero"/>
        <c:auto val="1"/>
        <c:lblAlgn val="ctr"/>
        <c:lblOffset val="100"/>
        <c:noMultiLvlLbl val="0"/>
      </c:catAx>
      <c:valAx>
        <c:axId val="228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99219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[hotel_sales_cleaned.xlsx]Monthly revenue!ピボットテーブル6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0" i="0" u="none" strike="noStrike" baseline="0"/>
              <a:t>Monthly Revenue Trend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revenue'!$B$3</c:f>
              <c:strCache>
                <c:ptCount val="1"/>
                <c:pt idx="0">
                  <c:v>集計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'Monthly revenue'!$A$4:$A$516</c:f>
              <c:multiLvlStrCache>
                <c:ptCount val="500"/>
                <c:lvl>
                  <c:pt idx="0">
                    <c:v>2025/1/1</c:v>
                  </c:pt>
                  <c:pt idx="1">
                    <c:v>2025/1/1</c:v>
                  </c:pt>
                  <c:pt idx="2">
                    <c:v>2025/1/2</c:v>
                  </c:pt>
                  <c:pt idx="3">
                    <c:v>2025/1/2</c:v>
                  </c:pt>
                  <c:pt idx="4">
                    <c:v>2025/1/3</c:v>
                  </c:pt>
                  <c:pt idx="5">
                    <c:v>2025/1/4</c:v>
                  </c:pt>
                  <c:pt idx="6">
                    <c:v>2025/1/5</c:v>
                  </c:pt>
                  <c:pt idx="7">
                    <c:v>2025/1/6</c:v>
                  </c:pt>
                  <c:pt idx="8">
                    <c:v>2025/1/6</c:v>
                  </c:pt>
                  <c:pt idx="9">
                    <c:v>2025/1/7</c:v>
                  </c:pt>
                  <c:pt idx="10">
                    <c:v>2025/1/7</c:v>
                  </c:pt>
                  <c:pt idx="11">
                    <c:v>2025/1/8</c:v>
                  </c:pt>
                  <c:pt idx="12">
                    <c:v>2025/1/8</c:v>
                  </c:pt>
                  <c:pt idx="13">
                    <c:v>2025/1/9</c:v>
                  </c:pt>
                  <c:pt idx="14">
                    <c:v>2025/1/13</c:v>
                  </c:pt>
                  <c:pt idx="15">
                    <c:v>2025/1/13</c:v>
                  </c:pt>
                  <c:pt idx="16">
                    <c:v>2025/1/15</c:v>
                  </c:pt>
                  <c:pt idx="17">
                    <c:v>2025/1/15</c:v>
                  </c:pt>
                  <c:pt idx="18">
                    <c:v>2025/1/15</c:v>
                  </c:pt>
                  <c:pt idx="19">
                    <c:v>2025/1/16</c:v>
                  </c:pt>
                  <c:pt idx="20">
                    <c:v>2025/1/16</c:v>
                  </c:pt>
                  <c:pt idx="21">
                    <c:v>2025/1/17</c:v>
                  </c:pt>
                  <c:pt idx="22">
                    <c:v>2025/1/18</c:v>
                  </c:pt>
                  <c:pt idx="23">
                    <c:v>2025/1/19</c:v>
                  </c:pt>
                  <c:pt idx="24">
                    <c:v>2025/1/19</c:v>
                  </c:pt>
                  <c:pt idx="25">
                    <c:v>2025/1/19</c:v>
                  </c:pt>
                  <c:pt idx="26">
                    <c:v>2025/1/19</c:v>
                  </c:pt>
                  <c:pt idx="27">
                    <c:v>2025/1/20</c:v>
                  </c:pt>
                  <c:pt idx="28">
                    <c:v>2025/1/22</c:v>
                  </c:pt>
                  <c:pt idx="29">
                    <c:v>2025/1/22</c:v>
                  </c:pt>
                  <c:pt idx="30">
                    <c:v>2025/1/22</c:v>
                  </c:pt>
                  <c:pt idx="31">
                    <c:v>2025/1/22</c:v>
                  </c:pt>
                  <c:pt idx="32">
                    <c:v>2025/1/23</c:v>
                  </c:pt>
                  <c:pt idx="33">
                    <c:v>2025/1/26</c:v>
                  </c:pt>
                  <c:pt idx="34">
                    <c:v>2025/1/27</c:v>
                  </c:pt>
                  <c:pt idx="35">
                    <c:v>2025/1/27</c:v>
                  </c:pt>
                  <c:pt idx="36">
                    <c:v>2025/1/27</c:v>
                  </c:pt>
                  <c:pt idx="37">
                    <c:v>2025/1/28</c:v>
                  </c:pt>
                  <c:pt idx="38">
                    <c:v>2025/1/28</c:v>
                  </c:pt>
                  <c:pt idx="39">
                    <c:v>2025/1/28</c:v>
                  </c:pt>
                  <c:pt idx="40">
                    <c:v>2025/1/29</c:v>
                  </c:pt>
                  <c:pt idx="41">
                    <c:v>2025/1/30</c:v>
                  </c:pt>
                  <c:pt idx="42">
                    <c:v>2025/1/31</c:v>
                  </c:pt>
                  <c:pt idx="43">
                    <c:v>2025/1/31</c:v>
                  </c:pt>
                  <c:pt idx="44">
                    <c:v>2025/1/31</c:v>
                  </c:pt>
                  <c:pt idx="45">
                    <c:v>2025/1/31</c:v>
                  </c:pt>
                  <c:pt idx="46">
                    <c:v>2025/1/31</c:v>
                  </c:pt>
                  <c:pt idx="47">
                    <c:v>2025/2/1</c:v>
                  </c:pt>
                  <c:pt idx="48">
                    <c:v>2025/2/1</c:v>
                  </c:pt>
                  <c:pt idx="49">
                    <c:v>2025/2/4</c:v>
                  </c:pt>
                  <c:pt idx="50">
                    <c:v>2025/2/4</c:v>
                  </c:pt>
                  <c:pt idx="51">
                    <c:v>2025/2/4</c:v>
                  </c:pt>
                  <c:pt idx="52">
                    <c:v>2025/2/6</c:v>
                  </c:pt>
                  <c:pt idx="53">
                    <c:v>2025/2/6</c:v>
                  </c:pt>
                  <c:pt idx="54">
                    <c:v>2025/2/7</c:v>
                  </c:pt>
                  <c:pt idx="55">
                    <c:v>2025/2/7</c:v>
                  </c:pt>
                  <c:pt idx="56">
                    <c:v>2025/2/8</c:v>
                  </c:pt>
                  <c:pt idx="57">
                    <c:v>2025/2/8</c:v>
                  </c:pt>
                  <c:pt idx="58">
                    <c:v>2025/2/8</c:v>
                  </c:pt>
                  <c:pt idx="59">
                    <c:v>2025/2/9</c:v>
                  </c:pt>
                  <c:pt idx="60">
                    <c:v>2025/2/11</c:v>
                  </c:pt>
                  <c:pt idx="61">
                    <c:v>2025/2/12</c:v>
                  </c:pt>
                  <c:pt idx="62">
                    <c:v>2025/2/13</c:v>
                  </c:pt>
                  <c:pt idx="63">
                    <c:v>2025/2/13</c:v>
                  </c:pt>
                  <c:pt idx="64">
                    <c:v>2025/2/13</c:v>
                  </c:pt>
                  <c:pt idx="65">
                    <c:v>2025/2/13</c:v>
                  </c:pt>
                  <c:pt idx="66">
                    <c:v>2025/2/15</c:v>
                  </c:pt>
                  <c:pt idx="67">
                    <c:v>2025/2/16</c:v>
                  </c:pt>
                  <c:pt idx="68">
                    <c:v>2025/2/16</c:v>
                  </c:pt>
                  <c:pt idx="69">
                    <c:v>2025/2/17</c:v>
                  </c:pt>
                  <c:pt idx="70">
                    <c:v>2025/2/18</c:v>
                  </c:pt>
                  <c:pt idx="71">
                    <c:v>2025/2/18</c:v>
                  </c:pt>
                  <c:pt idx="72">
                    <c:v>2025/2/20</c:v>
                  </c:pt>
                  <c:pt idx="73">
                    <c:v>2025/2/21</c:v>
                  </c:pt>
                  <c:pt idx="74">
                    <c:v>2025/2/21</c:v>
                  </c:pt>
                  <c:pt idx="75">
                    <c:v>2025/2/21</c:v>
                  </c:pt>
                  <c:pt idx="76">
                    <c:v>2025/2/21</c:v>
                  </c:pt>
                  <c:pt idx="77">
                    <c:v>2025/2/22</c:v>
                  </c:pt>
                  <c:pt idx="78">
                    <c:v>2025/2/23</c:v>
                  </c:pt>
                  <c:pt idx="79">
                    <c:v>2025/2/23</c:v>
                  </c:pt>
                  <c:pt idx="80">
                    <c:v>2025/2/23</c:v>
                  </c:pt>
                  <c:pt idx="81">
                    <c:v>2025/2/23</c:v>
                  </c:pt>
                  <c:pt idx="82">
                    <c:v>2025/2/24</c:v>
                  </c:pt>
                  <c:pt idx="83">
                    <c:v>2025/2/25</c:v>
                  </c:pt>
                  <c:pt idx="84">
                    <c:v>2025/2/25</c:v>
                  </c:pt>
                  <c:pt idx="85">
                    <c:v>2025/2/26</c:v>
                  </c:pt>
                  <c:pt idx="86">
                    <c:v>2025/2/27</c:v>
                  </c:pt>
                  <c:pt idx="87">
                    <c:v>2025/2/27</c:v>
                  </c:pt>
                  <c:pt idx="88">
                    <c:v>2025/2/27</c:v>
                  </c:pt>
                  <c:pt idx="89">
                    <c:v>2025/2/28</c:v>
                  </c:pt>
                  <c:pt idx="90">
                    <c:v>2025/3/1</c:v>
                  </c:pt>
                  <c:pt idx="91">
                    <c:v>2025/3/1</c:v>
                  </c:pt>
                  <c:pt idx="92">
                    <c:v>2025/3/1</c:v>
                  </c:pt>
                  <c:pt idx="93">
                    <c:v>2025/3/2</c:v>
                  </c:pt>
                  <c:pt idx="94">
                    <c:v>2025/3/3</c:v>
                  </c:pt>
                  <c:pt idx="95">
                    <c:v>2025/3/3</c:v>
                  </c:pt>
                  <c:pt idx="96">
                    <c:v>2025/3/4</c:v>
                  </c:pt>
                  <c:pt idx="97">
                    <c:v>2025/3/5</c:v>
                  </c:pt>
                  <c:pt idx="98">
                    <c:v>2025/3/5</c:v>
                  </c:pt>
                  <c:pt idx="99">
                    <c:v>2025/3/6</c:v>
                  </c:pt>
                  <c:pt idx="100">
                    <c:v>2025/3/6</c:v>
                  </c:pt>
                  <c:pt idx="101">
                    <c:v>2025/3/7</c:v>
                  </c:pt>
                  <c:pt idx="102">
                    <c:v>2025/3/8</c:v>
                  </c:pt>
                  <c:pt idx="103">
                    <c:v>2025/3/8</c:v>
                  </c:pt>
                  <c:pt idx="104">
                    <c:v>2025/3/9</c:v>
                  </c:pt>
                  <c:pt idx="105">
                    <c:v>2025/3/9</c:v>
                  </c:pt>
                  <c:pt idx="106">
                    <c:v>2025/3/11</c:v>
                  </c:pt>
                  <c:pt idx="107">
                    <c:v>2025/3/12</c:v>
                  </c:pt>
                  <c:pt idx="108">
                    <c:v>2025/3/12</c:v>
                  </c:pt>
                  <c:pt idx="109">
                    <c:v>2025/3/12</c:v>
                  </c:pt>
                  <c:pt idx="110">
                    <c:v>2025/3/13</c:v>
                  </c:pt>
                  <c:pt idx="111">
                    <c:v>2025/3/13</c:v>
                  </c:pt>
                  <c:pt idx="112">
                    <c:v>2025/3/14</c:v>
                  </c:pt>
                  <c:pt idx="113">
                    <c:v>2025/3/14</c:v>
                  </c:pt>
                  <c:pt idx="114">
                    <c:v>2025/3/15</c:v>
                  </c:pt>
                  <c:pt idx="115">
                    <c:v>2025/3/17</c:v>
                  </c:pt>
                  <c:pt idx="116">
                    <c:v>2025/3/17</c:v>
                  </c:pt>
                  <c:pt idx="117">
                    <c:v>2025/3/18</c:v>
                  </c:pt>
                  <c:pt idx="118">
                    <c:v>2025/3/19</c:v>
                  </c:pt>
                  <c:pt idx="119">
                    <c:v>2025/3/20</c:v>
                  </c:pt>
                  <c:pt idx="120">
                    <c:v>2025/3/21</c:v>
                  </c:pt>
                  <c:pt idx="121">
                    <c:v>2025/3/21</c:v>
                  </c:pt>
                  <c:pt idx="122">
                    <c:v>2025/3/22</c:v>
                  </c:pt>
                  <c:pt idx="123">
                    <c:v>2025/3/22</c:v>
                  </c:pt>
                  <c:pt idx="124">
                    <c:v>2025/3/22</c:v>
                  </c:pt>
                  <c:pt idx="125">
                    <c:v>2025/3/22</c:v>
                  </c:pt>
                  <c:pt idx="126">
                    <c:v>2025/3/23</c:v>
                  </c:pt>
                  <c:pt idx="127">
                    <c:v>2025/3/24</c:v>
                  </c:pt>
                  <c:pt idx="128">
                    <c:v>2025/3/24</c:v>
                  </c:pt>
                  <c:pt idx="129">
                    <c:v>2025/3/25</c:v>
                  </c:pt>
                  <c:pt idx="130">
                    <c:v>2025/3/27</c:v>
                  </c:pt>
                  <c:pt idx="131">
                    <c:v>2025/3/28</c:v>
                  </c:pt>
                  <c:pt idx="132">
                    <c:v>2025/3/28</c:v>
                  </c:pt>
                  <c:pt idx="133">
                    <c:v>2025/3/29</c:v>
                  </c:pt>
                  <c:pt idx="134">
                    <c:v>2025/3/29</c:v>
                  </c:pt>
                  <c:pt idx="135">
                    <c:v>2025/3/30</c:v>
                  </c:pt>
                  <c:pt idx="136">
                    <c:v>2025/3/30</c:v>
                  </c:pt>
                  <c:pt idx="137">
                    <c:v>2025/3/31</c:v>
                  </c:pt>
                  <c:pt idx="138">
                    <c:v>2025/3/31</c:v>
                  </c:pt>
                  <c:pt idx="139">
                    <c:v>2025/4/1</c:v>
                  </c:pt>
                  <c:pt idx="140">
                    <c:v>2025/4/2</c:v>
                  </c:pt>
                  <c:pt idx="141">
                    <c:v>2025/4/2</c:v>
                  </c:pt>
                  <c:pt idx="142">
                    <c:v>2025/4/3</c:v>
                  </c:pt>
                  <c:pt idx="143">
                    <c:v>2025/4/4</c:v>
                  </c:pt>
                  <c:pt idx="144">
                    <c:v>2025/4/6</c:v>
                  </c:pt>
                  <c:pt idx="145">
                    <c:v>2025/4/6</c:v>
                  </c:pt>
                  <c:pt idx="146">
                    <c:v>2025/4/6</c:v>
                  </c:pt>
                  <c:pt idx="147">
                    <c:v>2025/4/7</c:v>
                  </c:pt>
                  <c:pt idx="148">
                    <c:v>2025/4/8</c:v>
                  </c:pt>
                  <c:pt idx="149">
                    <c:v>2025/4/8</c:v>
                  </c:pt>
                  <c:pt idx="150">
                    <c:v>2025/4/9</c:v>
                  </c:pt>
                  <c:pt idx="151">
                    <c:v>2025/4/9</c:v>
                  </c:pt>
                  <c:pt idx="152">
                    <c:v>2025/4/11</c:v>
                  </c:pt>
                  <c:pt idx="153">
                    <c:v>2025/4/11</c:v>
                  </c:pt>
                  <c:pt idx="154">
                    <c:v>2025/4/14</c:v>
                  </c:pt>
                  <c:pt idx="155">
                    <c:v>2025/4/15</c:v>
                  </c:pt>
                  <c:pt idx="156">
                    <c:v>2025/4/16</c:v>
                  </c:pt>
                  <c:pt idx="157">
                    <c:v>2025/4/17</c:v>
                  </c:pt>
                  <c:pt idx="158">
                    <c:v>2025/4/17</c:v>
                  </c:pt>
                  <c:pt idx="159">
                    <c:v>2025/4/17</c:v>
                  </c:pt>
                  <c:pt idx="160">
                    <c:v>2025/4/18</c:v>
                  </c:pt>
                  <c:pt idx="161">
                    <c:v>2025/4/18</c:v>
                  </c:pt>
                  <c:pt idx="162">
                    <c:v>2025/4/19</c:v>
                  </c:pt>
                  <c:pt idx="163">
                    <c:v>2025/4/21</c:v>
                  </c:pt>
                  <c:pt idx="164">
                    <c:v>2025/4/21</c:v>
                  </c:pt>
                  <c:pt idx="165">
                    <c:v>2025/4/23</c:v>
                  </c:pt>
                  <c:pt idx="166">
                    <c:v>2025/4/23</c:v>
                  </c:pt>
                  <c:pt idx="167">
                    <c:v>2025/4/24</c:v>
                  </c:pt>
                  <c:pt idx="168">
                    <c:v>2025/4/24</c:v>
                  </c:pt>
                  <c:pt idx="169">
                    <c:v>2025/4/24</c:v>
                  </c:pt>
                  <c:pt idx="170">
                    <c:v>2025/4/25</c:v>
                  </c:pt>
                  <c:pt idx="171">
                    <c:v>2025/4/26</c:v>
                  </c:pt>
                  <c:pt idx="172">
                    <c:v>2025/4/27</c:v>
                  </c:pt>
                  <c:pt idx="173">
                    <c:v>2025/4/28</c:v>
                  </c:pt>
                  <c:pt idx="174">
                    <c:v>2025/4/28</c:v>
                  </c:pt>
                  <c:pt idx="175">
                    <c:v>2025/4/28</c:v>
                  </c:pt>
                  <c:pt idx="176">
                    <c:v>2025/4/29</c:v>
                  </c:pt>
                  <c:pt idx="177">
                    <c:v>2025/4/29</c:v>
                  </c:pt>
                  <c:pt idx="178">
                    <c:v>2025/4/29</c:v>
                  </c:pt>
                  <c:pt idx="179">
                    <c:v>2025/4/30</c:v>
                  </c:pt>
                  <c:pt idx="180">
                    <c:v>2025/4/30</c:v>
                  </c:pt>
                  <c:pt idx="181">
                    <c:v>2025/5/1</c:v>
                  </c:pt>
                  <c:pt idx="182">
                    <c:v>2025/5/2</c:v>
                  </c:pt>
                  <c:pt idx="183">
                    <c:v>2025/5/2</c:v>
                  </c:pt>
                  <c:pt idx="184">
                    <c:v>2025/5/3</c:v>
                  </c:pt>
                  <c:pt idx="185">
                    <c:v>2025/5/3</c:v>
                  </c:pt>
                  <c:pt idx="186">
                    <c:v>2025/5/4</c:v>
                  </c:pt>
                  <c:pt idx="187">
                    <c:v>2025/5/6</c:v>
                  </c:pt>
                  <c:pt idx="188">
                    <c:v>2025/5/6</c:v>
                  </c:pt>
                  <c:pt idx="189">
                    <c:v>2025/5/7</c:v>
                  </c:pt>
                  <c:pt idx="190">
                    <c:v>2025/5/7</c:v>
                  </c:pt>
                  <c:pt idx="191">
                    <c:v>2025/5/8</c:v>
                  </c:pt>
                  <c:pt idx="192">
                    <c:v>2025/5/9</c:v>
                  </c:pt>
                  <c:pt idx="193">
                    <c:v>2025/5/9</c:v>
                  </c:pt>
                  <c:pt idx="194">
                    <c:v>2025/5/9</c:v>
                  </c:pt>
                  <c:pt idx="195">
                    <c:v>2025/5/9</c:v>
                  </c:pt>
                  <c:pt idx="196">
                    <c:v>2025/5/10</c:v>
                  </c:pt>
                  <c:pt idx="197">
                    <c:v>2025/5/10</c:v>
                  </c:pt>
                  <c:pt idx="198">
                    <c:v>2025/5/12</c:v>
                  </c:pt>
                  <c:pt idx="199">
                    <c:v>2025/5/13</c:v>
                  </c:pt>
                  <c:pt idx="200">
                    <c:v>2025/5/14</c:v>
                  </c:pt>
                  <c:pt idx="201">
                    <c:v>2025/5/15</c:v>
                  </c:pt>
                  <c:pt idx="202">
                    <c:v>2025/5/16</c:v>
                  </c:pt>
                  <c:pt idx="203">
                    <c:v>2025/5/16</c:v>
                  </c:pt>
                  <c:pt idx="204">
                    <c:v>2025/5/16</c:v>
                  </c:pt>
                  <c:pt idx="205">
                    <c:v>2025/5/17</c:v>
                  </c:pt>
                  <c:pt idx="206">
                    <c:v>2025/5/18</c:v>
                  </c:pt>
                  <c:pt idx="207">
                    <c:v>2025/5/18</c:v>
                  </c:pt>
                  <c:pt idx="208">
                    <c:v>2025/5/18</c:v>
                  </c:pt>
                  <c:pt idx="209">
                    <c:v>2025/5/21</c:v>
                  </c:pt>
                  <c:pt idx="210">
                    <c:v>2025/5/22</c:v>
                  </c:pt>
                  <c:pt idx="211">
                    <c:v>2025/5/22</c:v>
                  </c:pt>
                  <c:pt idx="212">
                    <c:v>2025/5/23</c:v>
                  </c:pt>
                  <c:pt idx="213">
                    <c:v>2025/5/24</c:v>
                  </c:pt>
                  <c:pt idx="214">
                    <c:v>2025/5/24</c:v>
                  </c:pt>
                  <c:pt idx="215">
                    <c:v>2025/5/25</c:v>
                  </c:pt>
                  <c:pt idx="216">
                    <c:v>2025/5/25</c:v>
                  </c:pt>
                  <c:pt idx="217">
                    <c:v>2025/5/26</c:v>
                  </c:pt>
                  <c:pt idx="218">
                    <c:v>2025/5/27</c:v>
                  </c:pt>
                  <c:pt idx="219">
                    <c:v>2025/5/28</c:v>
                  </c:pt>
                  <c:pt idx="220">
                    <c:v>2025/5/29</c:v>
                  </c:pt>
                  <c:pt idx="221">
                    <c:v>2025/5/29</c:v>
                  </c:pt>
                  <c:pt idx="222">
                    <c:v>2025/5/29</c:v>
                  </c:pt>
                  <c:pt idx="223">
                    <c:v>2025/5/31</c:v>
                  </c:pt>
                  <c:pt idx="224">
                    <c:v>2025/5/31</c:v>
                  </c:pt>
                  <c:pt idx="225">
                    <c:v>2025/5/31</c:v>
                  </c:pt>
                  <c:pt idx="226">
                    <c:v>2025/6/1</c:v>
                  </c:pt>
                  <c:pt idx="227">
                    <c:v>2025/6/1</c:v>
                  </c:pt>
                  <c:pt idx="228">
                    <c:v>2025/6/1</c:v>
                  </c:pt>
                  <c:pt idx="229">
                    <c:v>2025/6/1</c:v>
                  </c:pt>
                  <c:pt idx="230">
                    <c:v>2025/6/2</c:v>
                  </c:pt>
                  <c:pt idx="231">
                    <c:v>2025/6/3</c:v>
                  </c:pt>
                  <c:pt idx="232">
                    <c:v>2025/6/3</c:v>
                  </c:pt>
                  <c:pt idx="233">
                    <c:v>2025/6/4</c:v>
                  </c:pt>
                  <c:pt idx="234">
                    <c:v>2025/6/5</c:v>
                  </c:pt>
                  <c:pt idx="235">
                    <c:v>2025/6/5</c:v>
                  </c:pt>
                  <c:pt idx="236">
                    <c:v>2025/6/5</c:v>
                  </c:pt>
                  <c:pt idx="237">
                    <c:v>2025/6/5</c:v>
                  </c:pt>
                  <c:pt idx="238">
                    <c:v>2025/6/7</c:v>
                  </c:pt>
                  <c:pt idx="239">
                    <c:v>2025/6/7</c:v>
                  </c:pt>
                  <c:pt idx="240">
                    <c:v>2025/6/8</c:v>
                  </c:pt>
                  <c:pt idx="241">
                    <c:v>2025/6/9</c:v>
                  </c:pt>
                  <c:pt idx="242">
                    <c:v>2025/6/10</c:v>
                  </c:pt>
                  <c:pt idx="243">
                    <c:v>2025/6/10</c:v>
                  </c:pt>
                  <c:pt idx="244">
                    <c:v>2025/6/11</c:v>
                  </c:pt>
                  <c:pt idx="245">
                    <c:v>2025/6/13</c:v>
                  </c:pt>
                  <c:pt idx="246">
                    <c:v>2025/6/13</c:v>
                  </c:pt>
                  <c:pt idx="247">
                    <c:v>2025/6/14</c:v>
                  </c:pt>
                  <c:pt idx="248">
                    <c:v>2025/6/15</c:v>
                  </c:pt>
                  <c:pt idx="249">
                    <c:v>2025/6/16</c:v>
                  </c:pt>
                  <c:pt idx="250">
                    <c:v>2025/6/17</c:v>
                  </c:pt>
                  <c:pt idx="251">
                    <c:v>2025/6/17</c:v>
                  </c:pt>
                  <c:pt idx="252">
                    <c:v>2025/6/18</c:v>
                  </c:pt>
                  <c:pt idx="253">
                    <c:v>2025/6/19</c:v>
                  </c:pt>
                  <c:pt idx="254">
                    <c:v>2025/6/19</c:v>
                  </c:pt>
                  <c:pt idx="255">
                    <c:v>2025/6/21</c:v>
                  </c:pt>
                  <c:pt idx="256">
                    <c:v>2025/6/21</c:v>
                  </c:pt>
                  <c:pt idx="257">
                    <c:v>2025/6/21</c:v>
                  </c:pt>
                  <c:pt idx="258">
                    <c:v>2025/6/22</c:v>
                  </c:pt>
                  <c:pt idx="259">
                    <c:v>2025/6/22</c:v>
                  </c:pt>
                  <c:pt idx="260">
                    <c:v>2025/6/23</c:v>
                  </c:pt>
                  <c:pt idx="261">
                    <c:v>2025/6/23</c:v>
                  </c:pt>
                  <c:pt idx="262">
                    <c:v>2025/6/23</c:v>
                  </c:pt>
                  <c:pt idx="263">
                    <c:v>2025/6/25</c:v>
                  </c:pt>
                  <c:pt idx="264">
                    <c:v>2025/6/26</c:v>
                  </c:pt>
                  <c:pt idx="265">
                    <c:v>2025/6/26</c:v>
                  </c:pt>
                  <c:pt idx="266">
                    <c:v>2025/6/28</c:v>
                  </c:pt>
                  <c:pt idx="267">
                    <c:v>2025/6/29</c:v>
                  </c:pt>
                  <c:pt idx="268">
                    <c:v>2025/6/29</c:v>
                  </c:pt>
                  <c:pt idx="269">
                    <c:v>2025/6/30</c:v>
                  </c:pt>
                  <c:pt idx="270">
                    <c:v>2025/7/1</c:v>
                  </c:pt>
                  <c:pt idx="271">
                    <c:v>2025/7/1</c:v>
                  </c:pt>
                  <c:pt idx="272">
                    <c:v>2025/7/2</c:v>
                  </c:pt>
                  <c:pt idx="273">
                    <c:v>2025/7/2</c:v>
                  </c:pt>
                  <c:pt idx="274">
                    <c:v>2025/7/3</c:v>
                  </c:pt>
                  <c:pt idx="275">
                    <c:v>2025/7/3</c:v>
                  </c:pt>
                  <c:pt idx="276">
                    <c:v>2025/7/4</c:v>
                  </c:pt>
                  <c:pt idx="277">
                    <c:v>2025/7/4</c:v>
                  </c:pt>
                  <c:pt idx="278">
                    <c:v>2025/7/5</c:v>
                  </c:pt>
                  <c:pt idx="279">
                    <c:v>2025/7/6</c:v>
                  </c:pt>
                  <c:pt idx="280">
                    <c:v>2025/7/6</c:v>
                  </c:pt>
                  <c:pt idx="281">
                    <c:v>2025/7/7</c:v>
                  </c:pt>
                  <c:pt idx="282">
                    <c:v>2025/7/9</c:v>
                  </c:pt>
                  <c:pt idx="283">
                    <c:v>2025/7/10</c:v>
                  </c:pt>
                  <c:pt idx="284">
                    <c:v>2025/7/10</c:v>
                  </c:pt>
                  <c:pt idx="285">
                    <c:v>2025/7/11</c:v>
                  </c:pt>
                  <c:pt idx="286">
                    <c:v>2025/7/11</c:v>
                  </c:pt>
                  <c:pt idx="287">
                    <c:v>2025/7/11</c:v>
                  </c:pt>
                  <c:pt idx="288">
                    <c:v>2025/7/11</c:v>
                  </c:pt>
                  <c:pt idx="289">
                    <c:v>2025/7/12</c:v>
                  </c:pt>
                  <c:pt idx="290">
                    <c:v>2025/7/12</c:v>
                  </c:pt>
                  <c:pt idx="291">
                    <c:v>2025/7/12</c:v>
                  </c:pt>
                  <c:pt idx="292">
                    <c:v>2025/7/13</c:v>
                  </c:pt>
                  <c:pt idx="293">
                    <c:v>2025/7/13</c:v>
                  </c:pt>
                  <c:pt idx="294">
                    <c:v>2025/7/13</c:v>
                  </c:pt>
                  <c:pt idx="295">
                    <c:v>2025/7/13</c:v>
                  </c:pt>
                  <c:pt idx="296">
                    <c:v>2025/7/15</c:v>
                  </c:pt>
                  <c:pt idx="297">
                    <c:v>2025/7/16</c:v>
                  </c:pt>
                  <c:pt idx="298">
                    <c:v>2025/7/17</c:v>
                  </c:pt>
                  <c:pt idx="299">
                    <c:v>2025/7/19</c:v>
                  </c:pt>
                  <c:pt idx="300">
                    <c:v>2025/7/20</c:v>
                  </c:pt>
                  <c:pt idx="301">
                    <c:v>2025/7/20</c:v>
                  </c:pt>
                  <c:pt idx="302">
                    <c:v>2025/7/23</c:v>
                  </c:pt>
                  <c:pt idx="303">
                    <c:v>2025/7/23</c:v>
                  </c:pt>
                  <c:pt idx="304">
                    <c:v>2025/7/23</c:v>
                  </c:pt>
                  <c:pt idx="305">
                    <c:v>2025/7/24</c:v>
                  </c:pt>
                  <c:pt idx="306">
                    <c:v>2025/7/26</c:v>
                  </c:pt>
                  <c:pt idx="307">
                    <c:v>2025/7/26</c:v>
                  </c:pt>
                  <c:pt idx="308">
                    <c:v>2025/7/27</c:v>
                  </c:pt>
                  <c:pt idx="309">
                    <c:v>2025/7/27</c:v>
                  </c:pt>
                  <c:pt idx="310">
                    <c:v>2025/7/27</c:v>
                  </c:pt>
                  <c:pt idx="311">
                    <c:v>2025/7/29</c:v>
                  </c:pt>
                  <c:pt idx="312">
                    <c:v>2025/7/29</c:v>
                  </c:pt>
                  <c:pt idx="313">
                    <c:v>2025/7/29</c:v>
                  </c:pt>
                  <c:pt idx="314">
                    <c:v>2025/7/29</c:v>
                  </c:pt>
                  <c:pt idx="315">
                    <c:v>2025/7/29</c:v>
                  </c:pt>
                  <c:pt idx="316">
                    <c:v>2025/7/31</c:v>
                  </c:pt>
                  <c:pt idx="317">
                    <c:v>2025/8/4</c:v>
                  </c:pt>
                  <c:pt idx="318">
                    <c:v>2025/8/4</c:v>
                  </c:pt>
                  <c:pt idx="319">
                    <c:v>2025/8/5</c:v>
                  </c:pt>
                  <c:pt idx="320">
                    <c:v>2025/8/6</c:v>
                  </c:pt>
                  <c:pt idx="321">
                    <c:v>2025/8/7</c:v>
                  </c:pt>
                  <c:pt idx="322">
                    <c:v>2025/8/9</c:v>
                  </c:pt>
                  <c:pt idx="323">
                    <c:v>2025/8/10</c:v>
                  </c:pt>
                  <c:pt idx="324">
                    <c:v>2025/8/10</c:v>
                  </c:pt>
                  <c:pt idx="325">
                    <c:v>2025/8/10</c:v>
                  </c:pt>
                  <c:pt idx="326">
                    <c:v>2025/8/12</c:v>
                  </c:pt>
                  <c:pt idx="327">
                    <c:v>2025/8/12</c:v>
                  </c:pt>
                  <c:pt idx="328">
                    <c:v>2025/8/14</c:v>
                  </c:pt>
                  <c:pt idx="329">
                    <c:v>2025/8/14</c:v>
                  </c:pt>
                  <c:pt idx="330">
                    <c:v>2025/8/16</c:v>
                  </c:pt>
                  <c:pt idx="331">
                    <c:v>2025/8/16</c:v>
                  </c:pt>
                  <c:pt idx="332">
                    <c:v>2025/8/17</c:v>
                  </c:pt>
                  <c:pt idx="333">
                    <c:v>2025/8/18</c:v>
                  </c:pt>
                  <c:pt idx="334">
                    <c:v>2025/8/18</c:v>
                  </c:pt>
                  <c:pt idx="335">
                    <c:v>2025/8/21</c:v>
                  </c:pt>
                  <c:pt idx="336">
                    <c:v>2025/8/21</c:v>
                  </c:pt>
                  <c:pt idx="337">
                    <c:v>2025/8/21</c:v>
                  </c:pt>
                  <c:pt idx="338">
                    <c:v>2025/8/23</c:v>
                  </c:pt>
                  <c:pt idx="339">
                    <c:v>2025/8/23</c:v>
                  </c:pt>
                  <c:pt idx="340">
                    <c:v>2025/8/23</c:v>
                  </c:pt>
                  <c:pt idx="341">
                    <c:v>2025/8/25</c:v>
                  </c:pt>
                  <c:pt idx="342">
                    <c:v>2025/8/25</c:v>
                  </c:pt>
                  <c:pt idx="343">
                    <c:v>2025/8/25</c:v>
                  </c:pt>
                  <c:pt idx="344">
                    <c:v>2025/8/27</c:v>
                  </c:pt>
                  <c:pt idx="345">
                    <c:v>2025/8/29</c:v>
                  </c:pt>
                  <c:pt idx="346">
                    <c:v>2025/8/29</c:v>
                  </c:pt>
                  <c:pt idx="347">
                    <c:v>2025/8/29</c:v>
                  </c:pt>
                  <c:pt idx="348">
                    <c:v>2025/8/29</c:v>
                  </c:pt>
                  <c:pt idx="349">
                    <c:v>2025/8/29</c:v>
                  </c:pt>
                  <c:pt idx="350">
                    <c:v>2025/8/30</c:v>
                  </c:pt>
                  <c:pt idx="351">
                    <c:v>2025/8/31</c:v>
                  </c:pt>
                  <c:pt idx="352">
                    <c:v>2025/9/1</c:v>
                  </c:pt>
                  <c:pt idx="353">
                    <c:v>2025/9/1</c:v>
                  </c:pt>
                  <c:pt idx="354">
                    <c:v>2025/9/1</c:v>
                  </c:pt>
                  <c:pt idx="355">
                    <c:v>2025/9/1</c:v>
                  </c:pt>
                  <c:pt idx="356">
                    <c:v>2025/9/1</c:v>
                  </c:pt>
                  <c:pt idx="357">
                    <c:v>2025/9/3</c:v>
                  </c:pt>
                  <c:pt idx="358">
                    <c:v>2025/9/4</c:v>
                  </c:pt>
                  <c:pt idx="359">
                    <c:v>2025/9/6</c:v>
                  </c:pt>
                  <c:pt idx="360">
                    <c:v>2025/9/8</c:v>
                  </c:pt>
                  <c:pt idx="361">
                    <c:v>2025/9/8</c:v>
                  </c:pt>
                  <c:pt idx="362">
                    <c:v>2025/9/8</c:v>
                  </c:pt>
                  <c:pt idx="363">
                    <c:v>2025/9/8</c:v>
                  </c:pt>
                  <c:pt idx="364">
                    <c:v>2025/9/9</c:v>
                  </c:pt>
                  <c:pt idx="365">
                    <c:v>2025/9/9</c:v>
                  </c:pt>
                  <c:pt idx="366">
                    <c:v>2025/9/9</c:v>
                  </c:pt>
                  <c:pt idx="367">
                    <c:v>2025/9/10</c:v>
                  </c:pt>
                  <c:pt idx="368">
                    <c:v>2025/9/11</c:v>
                  </c:pt>
                  <c:pt idx="369">
                    <c:v>2025/9/11</c:v>
                  </c:pt>
                  <c:pt idx="370">
                    <c:v>2025/9/11</c:v>
                  </c:pt>
                  <c:pt idx="371">
                    <c:v>2025/9/12</c:v>
                  </c:pt>
                  <c:pt idx="372">
                    <c:v>2025/9/12</c:v>
                  </c:pt>
                  <c:pt idx="373">
                    <c:v>2025/9/13</c:v>
                  </c:pt>
                  <c:pt idx="374">
                    <c:v>2025/9/13</c:v>
                  </c:pt>
                  <c:pt idx="375">
                    <c:v>2025/9/14</c:v>
                  </c:pt>
                  <c:pt idx="376">
                    <c:v>2025/9/14</c:v>
                  </c:pt>
                  <c:pt idx="377">
                    <c:v>2025/9/14</c:v>
                  </c:pt>
                  <c:pt idx="378">
                    <c:v>2025/9/16</c:v>
                  </c:pt>
                  <c:pt idx="379">
                    <c:v>2025/9/17</c:v>
                  </c:pt>
                  <c:pt idx="380">
                    <c:v>2025/9/18</c:v>
                  </c:pt>
                  <c:pt idx="381">
                    <c:v>2025/9/18</c:v>
                  </c:pt>
                  <c:pt idx="382">
                    <c:v>2025/9/18</c:v>
                  </c:pt>
                  <c:pt idx="383">
                    <c:v>2025/9/19</c:v>
                  </c:pt>
                  <c:pt idx="384">
                    <c:v>2025/9/19</c:v>
                  </c:pt>
                  <c:pt idx="385">
                    <c:v>2025/9/20</c:v>
                  </c:pt>
                  <c:pt idx="386">
                    <c:v>2025/9/21</c:v>
                  </c:pt>
                  <c:pt idx="387">
                    <c:v>2025/9/23</c:v>
                  </c:pt>
                  <c:pt idx="388">
                    <c:v>2025/9/23</c:v>
                  </c:pt>
                  <c:pt idx="389">
                    <c:v>2025/9/23</c:v>
                  </c:pt>
                  <c:pt idx="390">
                    <c:v>2025/9/23</c:v>
                  </c:pt>
                  <c:pt idx="391">
                    <c:v>2025/9/23</c:v>
                  </c:pt>
                  <c:pt idx="392">
                    <c:v>2025/9/24</c:v>
                  </c:pt>
                  <c:pt idx="393">
                    <c:v>2025/9/25</c:v>
                  </c:pt>
                  <c:pt idx="394">
                    <c:v>2025/9/25</c:v>
                  </c:pt>
                  <c:pt idx="395">
                    <c:v>2025/9/26</c:v>
                  </c:pt>
                  <c:pt idx="396">
                    <c:v>2025/9/27</c:v>
                  </c:pt>
                  <c:pt idx="397">
                    <c:v>2025/9/27</c:v>
                  </c:pt>
                  <c:pt idx="398">
                    <c:v>2025/9/28</c:v>
                  </c:pt>
                  <c:pt idx="399">
                    <c:v>2025/9/29</c:v>
                  </c:pt>
                  <c:pt idx="400">
                    <c:v>2025/10/1</c:v>
                  </c:pt>
                  <c:pt idx="401">
                    <c:v>2025/10/2</c:v>
                  </c:pt>
                  <c:pt idx="402">
                    <c:v>2025/10/2</c:v>
                  </c:pt>
                  <c:pt idx="403">
                    <c:v>2025/10/3</c:v>
                  </c:pt>
                  <c:pt idx="404">
                    <c:v>2025/10/3</c:v>
                  </c:pt>
                  <c:pt idx="405">
                    <c:v>2025/10/4</c:v>
                  </c:pt>
                  <c:pt idx="406">
                    <c:v>2025/10/4</c:v>
                  </c:pt>
                  <c:pt idx="407">
                    <c:v>2025/10/5</c:v>
                  </c:pt>
                  <c:pt idx="408">
                    <c:v>2025/10/6</c:v>
                  </c:pt>
                  <c:pt idx="409">
                    <c:v>2025/10/6</c:v>
                  </c:pt>
                  <c:pt idx="410">
                    <c:v>2025/10/6</c:v>
                  </c:pt>
                  <c:pt idx="411">
                    <c:v>2025/10/7</c:v>
                  </c:pt>
                  <c:pt idx="412">
                    <c:v>2025/10/7</c:v>
                  </c:pt>
                  <c:pt idx="413">
                    <c:v>2025/10/8</c:v>
                  </c:pt>
                  <c:pt idx="414">
                    <c:v>2025/10/9</c:v>
                  </c:pt>
                  <c:pt idx="415">
                    <c:v>2025/10/12</c:v>
                  </c:pt>
                  <c:pt idx="416">
                    <c:v>2025/10/14</c:v>
                  </c:pt>
                  <c:pt idx="417">
                    <c:v>2025/10/14</c:v>
                  </c:pt>
                  <c:pt idx="418">
                    <c:v>2025/10/19</c:v>
                  </c:pt>
                  <c:pt idx="419">
                    <c:v>2025/10/19</c:v>
                  </c:pt>
                  <c:pt idx="420">
                    <c:v>2025/10/19</c:v>
                  </c:pt>
                  <c:pt idx="421">
                    <c:v>2025/10/20</c:v>
                  </c:pt>
                  <c:pt idx="422">
                    <c:v>2025/10/20</c:v>
                  </c:pt>
                  <c:pt idx="423">
                    <c:v>2025/10/21</c:v>
                  </c:pt>
                  <c:pt idx="424">
                    <c:v>2025/10/22</c:v>
                  </c:pt>
                  <c:pt idx="425">
                    <c:v>2025/10/23</c:v>
                  </c:pt>
                  <c:pt idx="426">
                    <c:v>2025/10/24</c:v>
                  </c:pt>
                  <c:pt idx="427">
                    <c:v>2025/10/25</c:v>
                  </c:pt>
                  <c:pt idx="428">
                    <c:v>2025/10/25</c:v>
                  </c:pt>
                  <c:pt idx="429">
                    <c:v>2025/10/25</c:v>
                  </c:pt>
                  <c:pt idx="430">
                    <c:v>2025/10/26</c:v>
                  </c:pt>
                  <c:pt idx="431">
                    <c:v>2025/10/26</c:v>
                  </c:pt>
                  <c:pt idx="432">
                    <c:v>2025/10/26</c:v>
                  </c:pt>
                  <c:pt idx="433">
                    <c:v>2025/10/26</c:v>
                  </c:pt>
                  <c:pt idx="434">
                    <c:v>2025/10/27</c:v>
                  </c:pt>
                  <c:pt idx="435">
                    <c:v>2025/10/27</c:v>
                  </c:pt>
                  <c:pt idx="436">
                    <c:v>2025/10/29</c:v>
                  </c:pt>
                  <c:pt idx="437">
                    <c:v>2025/11/1</c:v>
                  </c:pt>
                  <c:pt idx="438">
                    <c:v>2025/11/2</c:v>
                  </c:pt>
                  <c:pt idx="439">
                    <c:v>2025/11/2</c:v>
                  </c:pt>
                  <c:pt idx="440">
                    <c:v>2025/11/3</c:v>
                  </c:pt>
                  <c:pt idx="441">
                    <c:v>2025/11/3</c:v>
                  </c:pt>
                  <c:pt idx="442">
                    <c:v>2025/11/4</c:v>
                  </c:pt>
                  <c:pt idx="443">
                    <c:v>2025/11/4</c:v>
                  </c:pt>
                  <c:pt idx="444">
                    <c:v>2025/11/4</c:v>
                  </c:pt>
                  <c:pt idx="445">
                    <c:v>2025/11/6</c:v>
                  </c:pt>
                  <c:pt idx="446">
                    <c:v>2025/11/6</c:v>
                  </c:pt>
                  <c:pt idx="447">
                    <c:v>2025/11/6</c:v>
                  </c:pt>
                  <c:pt idx="448">
                    <c:v>2025/11/6</c:v>
                  </c:pt>
                  <c:pt idx="449">
                    <c:v>2025/11/7</c:v>
                  </c:pt>
                  <c:pt idx="450">
                    <c:v>2025/11/11</c:v>
                  </c:pt>
                  <c:pt idx="451">
                    <c:v>2025/11/12</c:v>
                  </c:pt>
                  <c:pt idx="452">
                    <c:v>2025/11/13</c:v>
                  </c:pt>
                  <c:pt idx="453">
                    <c:v>2025/11/13</c:v>
                  </c:pt>
                  <c:pt idx="454">
                    <c:v>2025/11/14</c:v>
                  </c:pt>
                  <c:pt idx="455">
                    <c:v>2025/11/14</c:v>
                  </c:pt>
                  <c:pt idx="456">
                    <c:v>2025/11/14</c:v>
                  </c:pt>
                  <c:pt idx="457">
                    <c:v>2025/11/14</c:v>
                  </c:pt>
                  <c:pt idx="458">
                    <c:v>2025/11/14</c:v>
                  </c:pt>
                  <c:pt idx="459">
                    <c:v>2025/11/17</c:v>
                  </c:pt>
                  <c:pt idx="460">
                    <c:v>2025/11/18</c:v>
                  </c:pt>
                  <c:pt idx="461">
                    <c:v>2025/11/18</c:v>
                  </c:pt>
                  <c:pt idx="462">
                    <c:v>2025/11/18</c:v>
                  </c:pt>
                  <c:pt idx="463">
                    <c:v>2025/11/21</c:v>
                  </c:pt>
                  <c:pt idx="464">
                    <c:v>2025/11/21</c:v>
                  </c:pt>
                  <c:pt idx="465">
                    <c:v>2025/11/22</c:v>
                  </c:pt>
                  <c:pt idx="466">
                    <c:v>2025/11/22</c:v>
                  </c:pt>
                  <c:pt idx="467">
                    <c:v>2025/11/23</c:v>
                  </c:pt>
                  <c:pt idx="468">
                    <c:v>2025/11/24</c:v>
                  </c:pt>
                  <c:pt idx="469">
                    <c:v>2025/11/25</c:v>
                  </c:pt>
                  <c:pt idx="470">
                    <c:v>2025/11/25</c:v>
                  </c:pt>
                  <c:pt idx="471">
                    <c:v>2025/11/25</c:v>
                  </c:pt>
                  <c:pt idx="472">
                    <c:v>2025/11/25</c:v>
                  </c:pt>
                  <c:pt idx="473">
                    <c:v>2025/11/27</c:v>
                  </c:pt>
                  <c:pt idx="474">
                    <c:v>2025/11/27</c:v>
                  </c:pt>
                  <c:pt idx="475">
                    <c:v>2025/11/27</c:v>
                  </c:pt>
                  <c:pt idx="476">
                    <c:v>2025/11/28</c:v>
                  </c:pt>
                  <c:pt idx="477">
                    <c:v>2025/11/29</c:v>
                  </c:pt>
                  <c:pt idx="478">
                    <c:v>2025/11/29</c:v>
                  </c:pt>
                  <c:pt idx="479">
                    <c:v>2025/11/30</c:v>
                  </c:pt>
                  <c:pt idx="480">
                    <c:v>2025/11/30</c:v>
                  </c:pt>
                  <c:pt idx="481">
                    <c:v>2025/12/1</c:v>
                  </c:pt>
                  <c:pt idx="482">
                    <c:v>2025/12/3</c:v>
                  </c:pt>
                  <c:pt idx="483">
                    <c:v>2025/12/4</c:v>
                  </c:pt>
                  <c:pt idx="484">
                    <c:v>2025/12/5</c:v>
                  </c:pt>
                  <c:pt idx="485">
                    <c:v>2025/12/5</c:v>
                  </c:pt>
                  <c:pt idx="486">
                    <c:v>2025/12/5</c:v>
                  </c:pt>
                  <c:pt idx="487">
                    <c:v>2025/12/6</c:v>
                  </c:pt>
                  <c:pt idx="488">
                    <c:v>2025/12/6</c:v>
                  </c:pt>
                  <c:pt idx="489">
                    <c:v>2025/12/6</c:v>
                  </c:pt>
                  <c:pt idx="490">
                    <c:v>2025/12/7</c:v>
                  </c:pt>
                  <c:pt idx="491">
                    <c:v>2025/12/7</c:v>
                  </c:pt>
                  <c:pt idx="492">
                    <c:v>2025/12/8</c:v>
                  </c:pt>
                  <c:pt idx="493">
                    <c:v>2025/12/10</c:v>
                  </c:pt>
                  <c:pt idx="494">
                    <c:v>2025/12/12</c:v>
                  </c:pt>
                  <c:pt idx="495">
                    <c:v>2025/12/13</c:v>
                  </c:pt>
                  <c:pt idx="496">
                    <c:v>2025/12/13</c:v>
                  </c:pt>
                  <c:pt idx="497">
                    <c:v>2025/12/13</c:v>
                  </c:pt>
                  <c:pt idx="498">
                    <c:v>2025/12/14</c:v>
                  </c:pt>
                  <c:pt idx="499">
                    <c:v>2025/12/14</c:v>
                  </c:pt>
                </c:lvl>
                <c:lvl>
                  <c:pt idx="0">
                    <c:v>1月</c:v>
                  </c:pt>
                  <c:pt idx="47">
                    <c:v>2月</c:v>
                  </c:pt>
                  <c:pt idx="90">
                    <c:v>3月</c:v>
                  </c:pt>
                  <c:pt idx="139">
                    <c:v>4月</c:v>
                  </c:pt>
                  <c:pt idx="181">
                    <c:v>5月</c:v>
                  </c:pt>
                  <c:pt idx="226">
                    <c:v>6月</c:v>
                  </c:pt>
                  <c:pt idx="270">
                    <c:v>7月</c:v>
                  </c:pt>
                  <c:pt idx="317">
                    <c:v>8月</c:v>
                  </c:pt>
                  <c:pt idx="352">
                    <c:v>9月</c:v>
                  </c:pt>
                  <c:pt idx="400">
                    <c:v>10月</c:v>
                  </c:pt>
                  <c:pt idx="437">
                    <c:v>11月</c:v>
                  </c:pt>
                  <c:pt idx="481">
                    <c:v>12月</c:v>
                  </c:pt>
                </c:lvl>
              </c:multiLvlStrCache>
            </c:multiLvlStrRef>
          </c:cat>
          <c:val>
            <c:numRef>
              <c:f>'Monthly revenue'!$B$4:$B$516</c:f>
              <c:numCache>
                <c:formatCode>General</c:formatCode>
                <c:ptCount val="500"/>
                <c:pt idx="0">
                  <c:v>62000</c:v>
                </c:pt>
                <c:pt idx="1">
                  <c:v>74000</c:v>
                </c:pt>
                <c:pt idx="2">
                  <c:v>58500</c:v>
                </c:pt>
                <c:pt idx="3">
                  <c:v>11500</c:v>
                </c:pt>
                <c:pt idx="4">
                  <c:v>78500</c:v>
                </c:pt>
                <c:pt idx="5">
                  <c:v>64500</c:v>
                </c:pt>
                <c:pt idx="6">
                  <c:v>76500</c:v>
                </c:pt>
                <c:pt idx="7">
                  <c:v>41500</c:v>
                </c:pt>
                <c:pt idx="8">
                  <c:v>24000</c:v>
                </c:pt>
                <c:pt idx="9">
                  <c:v>134500</c:v>
                </c:pt>
                <c:pt idx="10">
                  <c:v>78000</c:v>
                </c:pt>
                <c:pt idx="11">
                  <c:v>28000</c:v>
                </c:pt>
                <c:pt idx="12">
                  <c:v>22500</c:v>
                </c:pt>
                <c:pt idx="13">
                  <c:v>86000</c:v>
                </c:pt>
                <c:pt idx="14">
                  <c:v>76000</c:v>
                </c:pt>
                <c:pt idx="15">
                  <c:v>29000</c:v>
                </c:pt>
                <c:pt idx="16">
                  <c:v>103000</c:v>
                </c:pt>
                <c:pt idx="17">
                  <c:v>126000</c:v>
                </c:pt>
                <c:pt idx="18">
                  <c:v>122000</c:v>
                </c:pt>
                <c:pt idx="19">
                  <c:v>94000</c:v>
                </c:pt>
                <c:pt idx="20">
                  <c:v>18500</c:v>
                </c:pt>
                <c:pt idx="21">
                  <c:v>38500</c:v>
                </c:pt>
                <c:pt idx="22">
                  <c:v>94000</c:v>
                </c:pt>
                <c:pt idx="23">
                  <c:v>20500</c:v>
                </c:pt>
                <c:pt idx="24">
                  <c:v>21500</c:v>
                </c:pt>
                <c:pt idx="25">
                  <c:v>95500</c:v>
                </c:pt>
                <c:pt idx="26">
                  <c:v>43000</c:v>
                </c:pt>
                <c:pt idx="27">
                  <c:v>37000</c:v>
                </c:pt>
                <c:pt idx="28">
                  <c:v>74000</c:v>
                </c:pt>
                <c:pt idx="29">
                  <c:v>17000</c:v>
                </c:pt>
                <c:pt idx="30">
                  <c:v>32000</c:v>
                </c:pt>
                <c:pt idx="31">
                  <c:v>51500</c:v>
                </c:pt>
                <c:pt idx="32">
                  <c:v>21000</c:v>
                </c:pt>
                <c:pt idx="33">
                  <c:v>28000</c:v>
                </c:pt>
                <c:pt idx="34">
                  <c:v>21500</c:v>
                </c:pt>
                <c:pt idx="35">
                  <c:v>216000</c:v>
                </c:pt>
                <c:pt idx="36">
                  <c:v>65500</c:v>
                </c:pt>
                <c:pt idx="37">
                  <c:v>66000</c:v>
                </c:pt>
                <c:pt idx="38">
                  <c:v>84500</c:v>
                </c:pt>
                <c:pt idx="39">
                  <c:v>210500</c:v>
                </c:pt>
                <c:pt idx="40">
                  <c:v>85500</c:v>
                </c:pt>
                <c:pt idx="41">
                  <c:v>85500</c:v>
                </c:pt>
                <c:pt idx="42">
                  <c:v>48500</c:v>
                </c:pt>
                <c:pt idx="43">
                  <c:v>114000</c:v>
                </c:pt>
                <c:pt idx="44">
                  <c:v>50000</c:v>
                </c:pt>
                <c:pt idx="45">
                  <c:v>24500</c:v>
                </c:pt>
                <c:pt idx="46">
                  <c:v>107000</c:v>
                </c:pt>
                <c:pt idx="47">
                  <c:v>34500</c:v>
                </c:pt>
                <c:pt idx="48">
                  <c:v>26000</c:v>
                </c:pt>
                <c:pt idx="49">
                  <c:v>39500</c:v>
                </c:pt>
                <c:pt idx="50">
                  <c:v>41500</c:v>
                </c:pt>
                <c:pt idx="51">
                  <c:v>19500</c:v>
                </c:pt>
                <c:pt idx="52">
                  <c:v>60000</c:v>
                </c:pt>
                <c:pt idx="53">
                  <c:v>57500</c:v>
                </c:pt>
                <c:pt idx="54">
                  <c:v>72000</c:v>
                </c:pt>
                <c:pt idx="55">
                  <c:v>46000</c:v>
                </c:pt>
                <c:pt idx="56">
                  <c:v>43000</c:v>
                </c:pt>
                <c:pt idx="57">
                  <c:v>40000</c:v>
                </c:pt>
                <c:pt idx="58">
                  <c:v>72000</c:v>
                </c:pt>
                <c:pt idx="59">
                  <c:v>55000</c:v>
                </c:pt>
                <c:pt idx="60">
                  <c:v>94000</c:v>
                </c:pt>
                <c:pt idx="61">
                  <c:v>134000</c:v>
                </c:pt>
                <c:pt idx="62">
                  <c:v>106000</c:v>
                </c:pt>
                <c:pt idx="63">
                  <c:v>97500</c:v>
                </c:pt>
                <c:pt idx="64">
                  <c:v>182000</c:v>
                </c:pt>
                <c:pt idx="65">
                  <c:v>43000</c:v>
                </c:pt>
                <c:pt idx="66">
                  <c:v>21500</c:v>
                </c:pt>
                <c:pt idx="67">
                  <c:v>97000</c:v>
                </c:pt>
                <c:pt idx="68">
                  <c:v>20500</c:v>
                </c:pt>
                <c:pt idx="69">
                  <c:v>70000</c:v>
                </c:pt>
                <c:pt idx="70">
                  <c:v>24000</c:v>
                </c:pt>
                <c:pt idx="71">
                  <c:v>44500</c:v>
                </c:pt>
                <c:pt idx="72">
                  <c:v>90000</c:v>
                </c:pt>
                <c:pt idx="73">
                  <c:v>39000</c:v>
                </c:pt>
                <c:pt idx="74">
                  <c:v>71000</c:v>
                </c:pt>
                <c:pt idx="75">
                  <c:v>86500</c:v>
                </c:pt>
                <c:pt idx="76">
                  <c:v>101000</c:v>
                </c:pt>
                <c:pt idx="77">
                  <c:v>23000</c:v>
                </c:pt>
                <c:pt idx="78">
                  <c:v>210000</c:v>
                </c:pt>
                <c:pt idx="79">
                  <c:v>23500</c:v>
                </c:pt>
                <c:pt idx="80">
                  <c:v>98000</c:v>
                </c:pt>
                <c:pt idx="81">
                  <c:v>129500</c:v>
                </c:pt>
                <c:pt idx="82">
                  <c:v>80000</c:v>
                </c:pt>
                <c:pt idx="83">
                  <c:v>66500</c:v>
                </c:pt>
                <c:pt idx="84">
                  <c:v>57500</c:v>
                </c:pt>
                <c:pt idx="85">
                  <c:v>110500</c:v>
                </c:pt>
                <c:pt idx="86">
                  <c:v>70000</c:v>
                </c:pt>
                <c:pt idx="87">
                  <c:v>81500</c:v>
                </c:pt>
                <c:pt idx="88">
                  <c:v>24500</c:v>
                </c:pt>
                <c:pt idx="89">
                  <c:v>61500</c:v>
                </c:pt>
                <c:pt idx="90">
                  <c:v>28500</c:v>
                </c:pt>
                <c:pt idx="91">
                  <c:v>61000</c:v>
                </c:pt>
                <c:pt idx="92">
                  <c:v>20500</c:v>
                </c:pt>
                <c:pt idx="93">
                  <c:v>53500</c:v>
                </c:pt>
                <c:pt idx="94">
                  <c:v>51500</c:v>
                </c:pt>
                <c:pt idx="95">
                  <c:v>67000</c:v>
                </c:pt>
                <c:pt idx="96">
                  <c:v>162000</c:v>
                </c:pt>
                <c:pt idx="97">
                  <c:v>11000</c:v>
                </c:pt>
                <c:pt idx="98">
                  <c:v>218500</c:v>
                </c:pt>
                <c:pt idx="99">
                  <c:v>60500</c:v>
                </c:pt>
                <c:pt idx="100">
                  <c:v>52000</c:v>
                </c:pt>
                <c:pt idx="101">
                  <c:v>40000</c:v>
                </c:pt>
                <c:pt idx="102">
                  <c:v>29500</c:v>
                </c:pt>
                <c:pt idx="103">
                  <c:v>40500</c:v>
                </c:pt>
                <c:pt idx="104">
                  <c:v>64000</c:v>
                </c:pt>
                <c:pt idx="105">
                  <c:v>27000</c:v>
                </c:pt>
                <c:pt idx="106">
                  <c:v>138500</c:v>
                </c:pt>
                <c:pt idx="107">
                  <c:v>137500</c:v>
                </c:pt>
                <c:pt idx="108">
                  <c:v>63000</c:v>
                </c:pt>
                <c:pt idx="109">
                  <c:v>99500</c:v>
                </c:pt>
                <c:pt idx="110">
                  <c:v>33000</c:v>
                </c:pt>
                <c:pt idx="111">
                  <c:v>30500</c:v>
                </c:pt>
                <c:pt idx="112">
                  <c:v>70000</c:v>
                </c:pt>
                <c:pt idx="113">
                  <c:v>140500</c:v>
                </c:pt>
                <c:pt idx="114">
                  <c:v>74500</c:v>
                </c:pt>
                <c:pt idx="115">
                  <c:v>156000</c:v>
                </c:pt>
                <c:pt idx="116">
                  <c:v>23000</c:v>
                </c:pt>
                <c:pt idx="117">
                  <c:v>24000</c:v>
                </c:pt>
                <c:pt idx="118">
                  <c:v>31000</c:v>
                </c:pt>
                <c:pt idx="119">
                  <c:v>41500</c:v>
                </c:pt>
                <c:pt idx="120">
                  <c:v>48500</c:v>
                </c:pt>
                <c:pt idx="121">
                  <c:v>49000</c:v>
                </c:pt>
                <c:pt idx="122">
                  <c:v>126000</c:v>
                </c:pt>
                <c:pt idx="123">
                  <c:v>67000</c:v>
                </c:pt>
                <c:pt idx="124">
                  <c:v>147000</c:v>
                </c:pt>
                <c:pt idx="125">
                  <c:v>184500</c:v>
                </c:pt>
                <c:pt idx="126">
                  <c:v>47500</c:v>
                </c:pt>
                <c:pt idx="127">
                  <c:v>176500</c:v>
                </c:pt>
                <c:pt idx="128">
                  <c:v>19500</c:v>
                </c:pt>
                <c:pt idx="129">
                  <c:v>39000</c:v>
                </c:pt>
                <c:pt idx="130">
                  <c:v>26000</c:v>
                </c:pt>
                <c:pt idx="131">
                  <c:v>76000</c:v>
                </c:pt>
                <c:pt idx="132">
                  <c:v>95000</c:v>
                </c:pt>
                <c:pt idx="133">
                  <c:v>52000</c:v>
                </c:pt>
                <c:pt idx="134">
                  <c:v>79000</c:v>
                </c:pt>
                <c:pt idx="135">
                  <c:v>80000</c:v>
                </c:pt>
                <c:pt idx="136">
                  <c:v>51000</c:v>
                </c:pt>
                <c:pt idx="137">
                  <c:v>34000</c:v>
                </c:pt>
                <c:pt idx="138">
                  <c:v>132000</c:v>
                </c:pt>
                <c:pt idx="139">
                  <c:v>23000</c:v>
                </c:pt>
                <c:pt idx="140">
                  <c:v>43000</c:v>
                </c:pt>
                <c:pt idx="141">
                  <c:v>29000</c:v>
                </c:pt>
                <c:pt idx="142">
                  <c:v>61500</c:v>
                </c:pt>
                <c:pt idx="143">
                  <c:v>63000</c:v>
                </c:pt>
                <c:pt idx="144">
                  <c:v>83000</c:v>
                </c:pt>
                <c:pt idx="145">
                  <c:v>56500</c:v>
                </c:pt>
                <c:pt idx="146">
                  <c:v>31000</c:v>
                </c:pt>
                <c:pt idx="147">
                  <c:v>157000</c:v>
                </c:pt>
                <c:pt idx="148">
                  <c:v>19000</c:v>
                </c:pt>
                <c:pt idx="149">
                  <c:v>198000</c:v>
                </c:pt>
                <c:pt idx="150">
                  <c:v>117000</c:v>
                </c:pt>
                <c:pt idx="151">
                  <c:v>97500</c:v>
                </c:pt>
                <c:pt idx="152">
                  <c:v>40000</c:v>
                </c:pt>
                <c:pt idx="153">
                  <c:v>58500</c:v>
                </c:pt>
                <c:pt idx="154">
                  <c:v>42500</c:v>
                </c:pt>
                <c:pt idx="155">
                  <c:v>33000</c:v>
                </c:pt>
                <c:pt idx="156">
                  <c:v>48000</c:v>
                </c:pt>
                <c:pt idx="157">
                  <c:v>45000</c:v>
                </c:pt>
                <c:pt idx="158">
                  <c:v>78500</c:v>
                </c:pt>
                <c:pt idx="159">
                  <c:v>145000</c:v>
                </c:pt>
                <c:pt idx="160">
                  <c:v>27500</c:v>
                </c:pt>
                <c:pt idx="161">
                  <c:v>34500</c:v>
                </c:pt>
                <c:pt idx="162">
                  <c:v>19500</c:v>
                </c:pt>
                <c:pt idx="163">
                  <c:v>74500</c:v>
                </c:pt>
                <c:pt idx="164">
                  <c:v>23500</c:v>
                </c:pt>
                <c:pt idx="165">
                  <c:v>138500</c:v>
                </c:pt>
                <c:pt idx="166">
                  <c:v>111000</c:v>
                </c:pt>
                <c:pt idx="167">
                  <c:v>64500</c:v>
                </c:pt>
                <c:pt idx="168">
                  <c:v>95500</c:v>
                </c:pt>
                <c:pt idx="169">
                  <c:v>60500</c:v>
                </c:pt>
                <c:pt idx="170">
                  <c:v>27500</c:v>
                </c:pt>
                <c:pt idx="171">
                  <c:v>130000</c:v>
                </c:pt>
                <c:pt idx="172">
                  <c:v>57500</c:v>
                </c:pt>
                <c:pt idx="173">
                  <c:v>37000</c:v>
                </c:pt>
                <c:pt idx="174">
                  <c:v>114500</c:v>
                </c:pt>
                <c:pt idx="175">
                  <c:v>64500</c:v>
                </c:pt>
                <c:pt idx="176">
                  <c:v>127500</c:v>
                </c:pt>
                <c:pt idx="177">
                  <c:v>45500</c:v>
                </c:pt>
                <c:pt idx="178">
                  <c:v>183000</c:v>
                </c:pt>
                <c:pt idx="179">
                  <c:v>33500</c:v>
                </c:pt>
                <c:pt idx="180">
                  <c:v>82000</c:v>
                </c:pt>
                <c:pt idx="181">
                  <c:v>31000</c:v>
                </c:pt>
                <c:pt idx="182">
                  <c:v>104500</c:v>
                </c:pt>
                <c:pt idx="183">
                  <c:v>30500</c:v>
                </c:pt>
                <c:pt idx="184">
                  <c:v>50000</c:v>
                </c:pt>
                <c:pt idx="185">
                  <c:v>36500</c:v>
                </c:pt>
                <c:pt idx="186">
                  <c:v>43000</c:v>
                </c:pt>
                <c:pt idx="187">
                  <c:v>36500</c:v>
                </c:pt>
                <c:pt idx="188">
                  <c:v>51000</c:v>
                </c:pt>
                <c:pt idx="189">
                  <c:v>80000</c:v>
                </c:pt>
                <c:pt idx="190">
                  <c:v>184000</c:v>
                </c:pt>
                <c:pt idx="191">
                  <c:v>55500</c:v>
                </c:pt>
                <c:pt idx="192">
                  <c:v>119000</c:v>
                </c:pt>
                <c:pt idx="193">
                  <c:v>40500</c:v>
                </c:pt>
                <c:pt idx="194">
                  <c:v>162000</c:v>
                </c:pt>
                <c:pt idx="195">
                  <c:v>54500</c:v>
                </c:pt>
                <c:pt idx="196">
                  <c:v>25500</c:v>
                </c:pt>
                <c:pt idx="197">
                  <c:v>18000</c:v>
                </c:pt>
                <c:pt idx="198">
                  <c:v>77000</c:v>
                </c:pt>
                <c:pt idx="199">
                  <c:v>39500</c:v>
                </c:pt>
                <c:pt idx="200">
                  <c:v>46500</c:v>
                </c:pt>
                <c:pt idx="201">
                  <c:v>27500</c:v>
                </c:pt>
                <c:pt idx="202">
                  <c:v>47500</c:v>
                </c:pt>
                <c:pt idx="203">
                  <c:v>230500</c:v>
                </c:pt>
                <c:pt idx="204">
                  <c:v>115000</c:v>
                </c:pt>
                <c:pt idx="205">
                  <c:v>39500</c:v>
                </c:pt>
                <c:pt idx="206">
                  <c:v>89500</c:v>
                </c:pt>
                <c:pt idx="207">
                  <c:v>65500</c:v>
                </c:pt>
                <c:pt idx="208">
                  <c:v>60500</c:v>
                </c:pt>
                <c:pt idx="209">
                  <c:v>40500</c:v>
                </c:pt>
                <c:pt idx="210">
                  <c:v>62500</c:v>
                </c:pt>
                <c:pt idx="211">
                  <c:v>77000</c:v>
                </c:pt>
                <c:pt idx="212">
                  <c:v>54000</c:v>
                </c:pt>
                <c:pt idx="213">
                  <c:v>32000</c:v>
                </c:pt>
                <c:pt idx="214">
                  <c:v>41500</c:v>
                </c:pt>
                <c:pt idx="215">
                  <c:v>185000</c:v>
                </c:pt>
                <c:pt idx="216">
                  <c:v>47000</c:v>
                </c:pt>
                <c:pt idx="217">
                  <c:v>39500</c:v>
                </c:pt>
                <c:pt idx="218">
                  <c:v>34500</c:v>
                </c:pt>
                <c:pt idx="219">
                  <c:v>129000</c:v>
                </c:pt>
                <c:pt idx="220">
                  <c:v>60000</c:v>
                </c:pt>
                <c:pt idx="221">
                  <c:v>33000</c:v>
                </c:pt>
                <c:pt idx="222">
                  <c:v>43500</c:v>
                </c:pt>
                <c:pt idx="223">
                  <c:v>55500</c:v>
                </c:pt>
                <c:pt idx="224">
                  <c:v>64000</c:v>
                </c:pt>
                <c:pt idx="225">
                  <c:v>64000</c:v>
                </c:pt>
                <c:pt idx="226">
                  <c:v>33000</c:v>
                </c:pt>
                <c:pt idx="227">
                  <c:v>58000</c:v>
                </c:pt>
                <c:pt idx="228">
                  <c:v>64500</c:v>
                </c:pt>
                <c:pt idx="229">
                  <c:v>27000</c:v>
                </c:pt>
                <c:pt idx="230">
                  <c:v>63000</c:v>
                </c:pt>
                <c:pt idx="231">
                  <c:v>82000</c:v>
                </c:pt>
                <c:pt idx="232">
                  <c:v>38500</c:v>
                </c:pt>
                <c:pt idx="233">
                  <c:v>26500</c:v>
                </c:pt>
                <c:pt idx="234">
                  <c:v>44500</c:v>
                </c:pt>
                <c:pt idx="235">
                  <c:v>39500</c:v>
                </c:pt>
                <c:pt idx="236">
                  <c:v>55500</c:v>
                </c:pt>
                <c:pt idx="237">
                  <c:v>89500</c:v>
                </c:pt>
                <c:pt idx="238">
                  <c:v>23000</c:v>
                </c:pt>
                <c:pt idx="239">
                  <c:v>41000</c:v>
                </c:pt>
                <c:pt idx="240">
                  <c:v>35500</c:v>
                </c:pt>
                <c:pt idx="241">
                  <c:v>126000</c:v>
                </c:pt>
                <c:pt idx="242">
                  <c:v>49500</c:v>
                </c:pt>
                <c:pt idx="243">
                  <c:v>156500</c:v>
                </c:pt>
                <c:pt idx="244">
                  <c:v>59500</c:v>
                </c:pt>
                <c:pt idx="245">
                  <c:v>104000</c:v>
                </c:pt>
                <c:pt idx="246">
                  <c:v>82500</c:v>
                </c:pt>
                <c:pt idx="247">
                  <c:v>28500</c:v>
                </c:pt>
                <c:pt idx="248">
                  <c:v>96500</c:v>
                </c:pt>
                <c:pt idx="249">
                  <c:v>55000</c:v>
                </c:pt>
                <c:pt idx="250">
                  <c:v>39000</c:v>
                </c:pt>
                <c:pt idx="251">
                  <c:v>29500</c:v>
                </c:pt>
                <c:pt idx="252">
                  <c:v>38500</c:v>
                </c:pt>
                <c:pt idx="253">
                  <c:v>29000</c:v>
                </c:pt>
                <c:pt idx="254">
                  <c:v>111500</c:v>
                </c:pt>
                <c:pt idx="255">
                  <c:v>102500</c:v>
                </c:pt>
                <c:pt idx="256">
                  <c:v>41500</c:v>
                </c:pt>
                <c:pt idx="257">
                  <c:v>35500</c:v>
                </c:pt>
                <c:pt idx="258">
                  <c:v>26000</c:v>
                </c:pt>
                <c:pt idx="259">
                  <c:v>37000</c:v>
                </c:pt>
                <c:pt idx="260">
                  <c:v>37000</c:v>
                </c:pt>
                <c:pt idx="261">
                  <c:v>39500</c:v>
                </c:pt>
                <c:pt idx="262">
                  <c:v>124500</c:v>
                </c:pt>
                <c:pt idx="263">
                  <c:v>85500</c:v>
                </c:pt>
                <c:pt idx="264">
                  <c:v>77500</c:v>
                </c:pt>
                <c:pt idx="265">
                  <c:v>42000</c:v>
                </c:pt>
                <c:pt idx="266">
                  <c:v>66500</c:v>
                </c:pt>
                <c:pt idx="267">
                  <c:v>102000</c:v>
                </c:pt>
                <c:pt idx="268">
                  <c:v>30000</c:v>
                </c:pt>
                <c:pt idx="269">
                  <c:v>27500</c:v>
                </c:pt>
                <c:pt idx="270">
                  <c:v>86500</c:v>
                </c:pt>
                <c:pt idx="271">
                  <c:v>51500</c:v>
                </c:pt>
                <c:pt idx="272">
                  <c:v>56000</c:v>
                </c:pt>
                <c:pt idx="273">
                  <c:v>124500</c:v>
                </c:pt>
                <c:pt idx="274">
                  <c:v>65000</c:v>
                </c:pt>
                <c:pt idx="275">
                  <c:v>86500</c:v>
                </c:pt>
                <c:pt idx="276">
                  <c:v>24000</c:v>
                </c:pt>
                <c:pt idx="277">
                  <c:v>99500</c:v>
                </c:pt>
                <c:pt idx="278">
                  <c:v>32000</c:v>
                </c:pt>
                <c:pt idx="279">
                  <c:v>106000</c:v>
                </c:pt>
                <c:pt idx="280">
                  <c:v>87000</c:v>
                </c:pt>
                <c:pt idx="281">
                  <c:v>85000</c:v>
                </c:pt>
                <c:pt idx="282">
                  <c:v>39500</c:v>
                </c:pt>
                <c:pt idx="283">
                  <c:v>129500</c:v>
                </c:pt>
                <c:pt idx="284">
                  <c:v>39500</c:v>
                </c:pt>
                <c:pt idx="285">
                  <c:v>125000</c:v>
                </c:pt>
                <c:pt idx="286">
                  <c:v>102500</c:v>
                </c:pt>
                <c:pt idx="287">
                  <c:v>96500</c:v>
                </c:pt>
                <c:pt idx="288">
                  <c:v>203000</c:v>
                </c:pt>
                <c:pt idx="289">
                  <c:v>84000</c:v>
                </c:pt>
                <c:pt idx="290">
                  <c:v>43500</c:v>
                </c:pt>
                <c:pt idx="291">
                  <c:v>83000</c:v>
                </c:pt>
                <c:pt idx="292">
                  <c:v>90000</c:v>
                </c:pt>
                <c:pt idx="293">
                  <c:v>60500</c:v>
                </c:pt>
                <c:pt idx="294">
                  <c:v>154500</c:v>
                </c:pt>
                <c:pt idx="295">
                  <c:v>62000</c:v>
                </c:pt>
                <c:pt idx="296">
                  <c:v>184500</c:v>
                </c:pt>
                <c:pt idx="297">
                  <c:v>26500</c:v>
                </c:pt>
                <c:pt idx="298">
                  <c:v>96000</c:v>
                </c:pt>
                <c:pt idx="299">
                  <c:v>155000</c:v>
                </c:pt>
                <c:pt idx="300">
                  <c:v>33000</c:v>
                </c:pt>
                <c:pt idx="301">
                  <c:v>22500</c:v>
                </c:pt>
                <c:pt idx="302">
                  <c:v>61500</c:v>
                </c:pt>
                <c:pt idx="303">
                  <c:v>100000</c:v>
                </c:pt>
                <c:pt idx="304">
                  <c:v>43500</c:v>
                </c:pt>
                <c:pt idx="305">
                  <c:v>31500</c:v>
                </c:pt>
                <c:pt idx="306">
                  <c:v>119000</c:v>
                </c:pt>
                <c:pt idx="307">
                  <c:v>164500</c:v>
                </c:pt>
                <c:pt idx="308">
                  <c:v>72500</c:v>
                </c:pt>
                <c:pt idx="309">
                  <c:v>61500</c:v>
                </c:pt>
                <c:pt idx="310">
                  <c:v>29000</c:v>
                </c:pt>
                <c:pt idx="311">
                  <c:v>45500</c:v>
                </c:pt>
                <c:pt idx="312">
                  <c:v>129000</c:v>
                </c:pt>
                <c:pt idx="313">
                  <c:v>124000</c:v>
                </c:pt>
                <c:pt idx="314">
                  <c:v>53500</c:v>
                </c:pt>
                <c:pt idx="315">
                  <c:v>73500</c:v>
                </c:pt>
                <c:pt idx="316">
                  <c:v>88000</c:v>
                </c:pt>
                <c:pt idx="317">
                  <c:v>192000</c:v>
                </c:pt>
                <c:pt idx="318">
                  <c:v>73500</c:v>
                </c:pt>
                <c:pt idx="319">
                  <c:v>81500</c:v>
                </c:pt>
                <c:pt idx="320">
                  <c:v>133500</c:v>
                </c:pt>
                <c:pt idx="321">
                  <c:v>51000</c:v>
                </c:pt>
                <c:pt idx="322">
                  <c:v>21500</c:v>
                </c:pt>
                <c:pt idx="323">
                  <c:v>66000</c:v>
                </c:pt>
                <c:pt idx="324">
                  <c:v>74000</c:v>
                </c:pt>
                <c:pt idx="325">
                  <c:v>110000</c:v>
                </c:pt>
                <c:pt idx="326">
                  <c:v>20000</c:v>
                </c:pt>
                <c:pt idx="327">
                  <c:v>37500</c:v>
                </c:pt>
                <c:pt idx="328">
                  <c:v>56000</c:v>
                </c:pt>
                <c:pt idx="329">
                  <c:v>27000</c:v>
                </c:pt>
                <c:pt idx="330">
                  <c:v>21000</c:v>
                </c:pt>
                <c:pt idx="331">
                  <c:v>122500</c:v>
                </c:pt>
                <c:pt idx="332">
                  <c:v>30000</c:v>
                </c:pt>
                <c:pt idx="333">
                  <c:v>42000</c:v>
                </c:pt>
                <c:pt idx="334">
                  <c:v>36000</c:v>
                </c:pt>
                <c:pt idx="335">
                  <c:v>75000</c:v>
                </c:pt>
                <c:pt idx="336">
                  <c:v>47000</c:v>
                </c:pt>
                <c:pt idx="337">
                  <c:v>80500</c:v>
                </c:pt>
                <c:pt idx="338">
                  <c:v>42000</c:v>
                </c:pt>
                <c:pt idx="339">
                  <c:v>56500</c:v>
                </c:pt>
                <c:pt idx="340">
                  <c:v>73000</c:v>
                </c:pt>
                <c:pt idx="341">
                  <c:v>69500</c:v>
                </c:pt>
                <c:pt idx="342">
                  <c:v>62000</c:v>
                </c:pt>
                <c:pt idx="343">
                  <c:v>45000</c:v>
                </c:pt>
                <c:pt idx="344">
                  <c:v>89000</c:v>
                </c:pt>
                <c:pt idx="345">
                  <c:v>95500</c:v>
                </c:pt>
                <c:pt idx="346">
                  <c:v>35000</c:v>
                </c:pt>
                <c:pt idx="347">
                  <c:v>38500</c:v>
                </c:pt>
                <c:pt idx="348">
                  <c:v>119500</c:v>
                </c:pt>
                <c:pt idx="349">
                  <c:v>36000</c:v>
                </c:pt>
                <c:pt idx="350">
                  <c:v>52500</c:v>
                </c:pt>
                <c:pt idx="351">
                  <c:v>39500</c:v>
                </c:pt>
                <c:pt idx="352">
                  <c:v>40500</c:v>
                </c:pt>
                <c:pt idx="353">
                  <c:v>20500</c:v>
                </c:pt>
                <c:pt idx="354">
                  <c:v>57500</c:v>
                </c:pt>
                <c:pt idx="355">
                  <c:v>20500</c:v>
                </c:pt>
                <c:pt idx="356">
                  <c:v>128500</c:v>
                </c:pt>
                <c:pt idx="357">
                  <c:v>26500</c:v>
                </c:pt>
                <c:pt idx="358">
                  <c:v>34000</c:v>
                </c:pt>
                <c:pt idx="359">
                  <c:v>72500</c:v>
                </c:pt>
                <c:pt idx="360">
                  <c:v>38500</c:v>
                </c:pt>
                <c:pt idx="361">
                  <c:v>115500</c:v>
                </c:pt>
                <c:pt idx="362">
                  <c:v>79500</c:v>
                </c:pt>
                <c:pt idx="363">
                  <c:v>68000</c:v>
                </c:pt>
                <c:pt idx="364">
                  <c:v>13500</c:v>
                </c:pt>
                <c:pt idx="365">
                  <c:v>39000</c:v>
                </c:pt>
                <c:pt idx="366">
                  <c:v>30500</c:v>
                </c:pt>
                <c:pt idx="367">
                  <c:v>69500</c:v>
                </c:pt>
                <c:pt idx="368">
                  <c:v>52500</c:v>
                </c:pt>
                <c:pt idx="369">
                  <c:v>89000</c:v>
                </c:pt>
                <c:pt idx="370">
                  <c:v>138500</c:v>
                </c:pt>
                <c:pt idx="371">
                  <c:v>39000</c:v>
                </c:pt>
                <c:pt idx="372">
                  <c:v>131000</c:v>
                </c:pt>
                <c:pt idx="373">
                  <c:v>64500</c:v>
                </c:pt>
                <c:pt idx="374">
                  <c:v>222000</c:v>
                </c:pt>
                <c:pt idx="375">
                  <c:v>27000</c:v>
                </c:pt>
                <c:pt idx="376">
                  <c:v>48000</c:v>
                </c:pt>
                <c:pt idx="377">
                  <c:v>91500</c:v>
                </c:pt>
                <c:pt idx="378">
                  <c:v>41000</c:v>
                </c:pt>
                <c:pt idx="379">
                  <c:v>140500</c:v>
                </c:pt>
                <c:pt idx="380">
                  <c:v>27500</c:v>
                </c:pt>
                <c:pt idx="381">
                  <c:v>35000</c:v>
                </c:pt>
                <c:pt idx="382">
                  <c:v>74000</c:v>
                </c:pt>
                <c:pt idx="383">
                  <c:v>65000</c:v>
                </c:pt>
                <c:pt idx="384">
                  <c:v>31500</c:v>
                </c:pt>
                <c:pt idx="385">
                  <c:v>69000</c:v>
                </c:pt>
                <c:pt idx="386">
                  <c:v>44500</c:v>
                </c:pt>
                <c:pt idx="387">
                  <c:v>23500</c:v>
                </c:pt>
                <c:pt idx="388">
                  <c:v>65000</c:v>
                </c:pt>
                <c:pt idx="389">
                  <c:v>33000</c:v>
                </c:pt>
                <c:pt idx="390">
                  <c:v>11000</c:v>
                </c:pt>
                <c:pt idx="391">
                  <c:v>14000</c:v>
                </c:pt>
                <c:pt idx="392">
                  <c:v>81000</c:v>
                </c:pt>
                <c:pt idx="393">
                  <c:v>53500</c:v>
                </c:pt>
                <c:pt idx="394">
                  <c:v>59000</c:v>
                </c:pt>
                <c:pt idx="395">
                  <c:v>37000</c:v>
                </c:pt>
                <c:pt idx="396">
                  <c:v>36500</c:v>
                </c:pt>
                <c:pt idx="397">
                  <c:v>83000</c:v>
                </c:pt>
                <c:pt idx="398">
                  <c:v>68000</c:v>
                </c:pt>
                <c:pt idx="399">
                  <c:v>91000</c:v>
                </c:pt>
                <c:pt idx="400">
                  <c:v>183000</c:v>
                </c:pt>
                <c:pt idx="401">
                  <c:v>38000</c:v>
                </c:pt>
                <c:pt idx="402">
                  <c:v>119500</c:v>
                </c:pt>
                <c:pt idx="403">
                  <c:v>57000</c:v>
                </c:pt>
                <c:pt idx="404">
                  <c:v>98000</c:v>
                </c:pt>
                <c:pt idx="405">
                  <c:v>166500</c:v>
                </c:pt>
                <c:pt idx="406">
                  <c:v>109500</c:v>
                </c:pt>
                <c:pt idx="407">
                  <c:v>134000</c:v>
                </c:pt>
                <c:pt idx="408">
                  <c:v>66000</c:v>
                </c:pt>
                <c:pt idx="409">
                  <c:v>28000</c:v>
                </c:pt>
                <c:pt idx="410">
                  <c:v>68000</c:v>
                </c:pt>
                <c:pt idx="411">
                  <c:v>53500</c:v>
                </c:pt>
                <c:pt idx="412">
                  <c:v>36500</c:v>
                </c:pt>
                <c:pt idx="413">
                  <c:v>57000</c:v>
                </c:pt>
                <c:pt idx="414">
                  <c:v>42500</c:v>
                </c:pt>
                <c:pt idx="415">
                  <c:v>19500</c:v>
                </c:pt>
                <c:pt idx="416">
                  <c:v>16500</c:v>
                </c:pt>
                <c:pt idx="417">
                  <c:v>64500</c:v>
                </c:pt>
                <c:pt idx="418">
                  <c:v>48500</c:v>
                </c:pt>
                <c:pt idx="419">
                  <c:v>24500</c:v>
                </c:pt>
                <c:pt idx="420">
                  <c:v>66000</c:v>
                </c:pt>
                <c:pt idx="421">
                  <c:v>48500</c:v>
                </c:pt>
                <c:pt idx="422">
                  <c:v>148000</c:v>
                </c:pt>
                <c:pt idx="423">
                  <c:v>54500</c:v>
                </c:pt>
                <c:pt idx="424">
                  <c:v>96500</c:v>
                </c:pt>
                <c:pt idx="425">
                  <c:v>55000</c:v>
                </c:pt>
                <c:pt idx="426">
                  <c:v>123500</c:v>
                </c:pt>
                <c:pt idx="427">
                  <c:v>63500</c:v>
                </c:pt>
                <c:pt idx="428">
                  <c:v>18500</c:v>
                </c:pt>
                <c:pt idx="429">
                  <c:v>68500</c:v>
                </c:pt>
                <c:pt idx="430">
                  <c:v>59000</c:v>
                </c:pt>
                <c:pt idx="431">
                  <c:v>65000</c:v>
                </c:pt>
                <c:pt idx="432">
                  <c:v>78500</c:v>
                </c:pt>
                <c:pt idx="433">
                  <c:v>65500</c:v>
                </c:pt>
                <c:pt idx="434">
                  <c:v>92000</c:v>
                </c:pt>
                <c:pt idx="435">
                  <c:v>70000</c:v>
                </c:pt>
                <c:pt idx="436">
                  <c:v>39500</c:v>
                </c:pt>
                <c:pt idx="437">
                  <c:v>41000</c:v>
                </c:pt>
                <c:pt idx="438">
                  <c:v>43500</c:v>
                </c:pt>
                <c:pt idx="439">
                  <c:v>39500</c:v>
                </c:pt>
                <c:pt idx="440">
                  <c:v>28000</c:v>
                </c:pt>
                <c:pt idx="441">
                  <c:v>58000</c:v>
                </c:pt>
                <c:pt idx="442">
                  <c:v>63000</c:v>
                </c:pt>
                <c:pt idx="443">
                  <c:v>58500</c:v>
                </c:pt>
                <c:pt idx="444">
                  <c:v>45000</c:v>
                </c:pt>
                <c:pt idx="445">
                  <c:v>24500</c:v>
                </c:pt>
                <c:pt idx="446">
                  <c:v>90500</c:v>
                </c:pt>
                <c:pt idx="447">
                  <c:v>41500</c:v>
                </c:pt>
                <c:pt idx="448">
                  <c:v>63000</c:v>
                </c:pt>
                <c:pt idx="449">
                  <c:v>99000</c:v>
                </c:pt>
                <c:pt idx="450">
                  <c:v>125500</c:v>
                </c:pt>
                <c:pt idx="451">
                  <c:v>40500</c:v>
                </c:pt>
                <c:pt idx="452">
                  <c:v>101000</c:v>
                </c:pt>
                <c:pt idx="453">
                  <c:v>75500</c:v>
                </c:pt>
                <c:pt idx="454">
                  <c:v>25500</c:v>
                </c:pt>
                <c:pt idx="455">
                  <c:v>19500</c:v>
                </c:pt>
                <c:pt idx="456">
                  <c:v>100500</c:v>
                </c:pt>
                <c:pt idx="457">
                  <c:v>91000</c:v>
                </c:pt>
                <c:pt idx="458">
                  <c:v>137000</c:v>
                </c:pt>
                <c:pt idx="459">
                  <c:v>64500</c:v>
                </c:pt>
                <c:pt idx="460">
                  <c:v>66000</c:v>
                </c:pt>
                <c:pt idx="461">
                  <c:v>37000</c:v>
                </c:pt>
                <c:pt idx="462">
                  <c:v>49000</c:v>
                </c:pt>
                <c:pt idx="463">
                  <c:v>74000</c:v>
                </c:pt>
                <c:pt idx="464">
                  <c:v>55500</c:v>
                </c:pt>
                <c:pt idx="465">
                  <c:v>41000</c:v>
                </c:pt>
                <c:pt idx="466">
                  <c:v>90500</c:v>
                </c:pt>
                <c:pt idx="467">
                  <c:v>64500</c:v>
                </c:pt>
                <c:pt idx="468">
                  <c:v>37000</c:v>
                </c:pt>
                <c:pt idx="469">
                  <c:v>44000</c:v>
                </c:pt>
                <c:pt idx="470">
                  <c:v>61000</c:v>
                </c:pt>
                <c:pt idx="471">
                  <c:v>120000</c:v>
                </c:pt>
                <c:pt idx="472">
                  <c:v>28500</c:v>
                </c:pt>
                <c:pt idx="473">
                  <c:v>120500</c:v>
                </c:pt>
                <c:pt idx="474">
                  <c:v>48000</c:v>
                </c:pt>
                <c:pt idx="475">
                  <c:v>60000</c:v>
                </c:pt>
                <c:pt idx="476">
                  <c:v>76000</c:v>
                </c:pt>
                <c:pt idx="477">
                  <c:v>36500</c:v>
                </c:pt>
                <c:pt idx="478">
                  <c:v>93000</c:v>
                </c:pt>
                <c:pt idx="479">
                  <c:v>67500</c:v>
                </c:pt>
                <c:pt idx="480">
                  <c:v>64500</c:v>
                </c:pt>
                <c:pt idx="481">
                  <c:v>102000</c:v>
                </c:pt>
                <c:pt idx="482">
                  <c:v>48000</c:v>
                </c:pt>
                <c:pt idx="483">
                  <c:v>44000</c:v>
                </c:pt>
                <c:pt idx="484">
                  <c:v>27500</c:v>
                </c:pt>
                <c:pt idx="485">
                  <c:v>17000</c:v>
                </c:pt>
                <c:pt idx="486">
                  <c:v>26000</c:v>
                </c:pt>
                <c:pt idx="487">
                  <c:v>58500</c:v>
                </c:pt>
                <c:pt idx="488">
                  <c:v>26500</c:v>
                </c:pt>
                <c:pt idx="489">
                  <c:v>59500</c:v>
                </c:pt>
                <c:pt idx="490">
                  <c:v>55500</c:v>
                </c:pt>
                <c:pt idx="491">
                  <c:v>58000</c:v>
                </c:pt>
                <c:pt idx="492">
                  <c:v>100000</c:v>
                </c:pt>
                <c:pt idx="493">
                  <c:v>67500</c:v>
                </c:pt>
                <c:pt idx="494">
                  <c:v>57000</c:v>
                </c:pt>
                <c:pt idx="495">
                  <c:v>76000</c:v>
                </c:pt>
                <c:pt idx="496">
                  <c:v>29500</c:v>
                </c:pt>
                <c:pt idx="497">
                  <c:v>63000</c:v>
                </c:pt>
                <c:pt idx="498">
                  <c:v>129000</c:v>
                </c:pt>
                <c:pt idx="499">
                  <c:v>30000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88-4D45-92B2-75A8A9FA4A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182447"/>
        <c:axId val="42505455"/>
      </c:lineChart>
      <c:catAx>
        <c:axId val="4718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2505455"/>
        <c:crosses val="autoZero"/>
        <c:auto val="1"/>
        <c:lblAlgn val="ctr"/>
        <c:lblOffset val="100"/>
        <c:noMultiLvlLbl val="0"/>
      </c:catAx>
      <c:valAx>
        <c:axId val="4250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47182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[hotel_sales_cleaned.xlsx]Revenue by Room Type!ピボットテーブル1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ja-JP" sz="1400" b="1" i="0" u="none" strike="noStrike" baseline="0"/>
              <a:t>Revenue by Room Type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 alt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Room Type'!$B$3</c:f>
              <c:strCache>
                <c:ptCount val="1"/>
                <c:pt idx="0">
                  <c:v>集計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Room Type'!$A$4:$A$7</c:f>
              <c:strCache>
                <c:ptCount val="3"/>
                <c:pt idx="0">
                  <c:v>Deluxe</c:v>
                </c:pt>
                <c:pt idx="1">
                  <c:v>Standard</c:v>
                </c:pt>
                <c:pt idx="2">
                  <c:v>Suite</c:v>
                </c:pt>
              </c:strCache>
            </c:strRef>
          </c:cat>
          <c:val>
            <c:numRef>
              <c:f>'Revenue by Room Type'!$B$4:$B$7</c:f>
              <c:numCache>
                <c:formatCode>General</c:formatCode>
                <c:ptCount val="3"/>
                <c:pt idx="0">
                  <c:v>12852500</c:v>
                </c:pt>
                <c:pt idx="1">
                  <c:v>12376000</c:v>
                </c:pt>
                <c:pt idx="2">
                  <c:v>8769500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F-4F6D-88E6-ECAF992F2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329040"/>
        <c:axId val="2285807"/>
      </c:barChart>
      <c:catAx>
        <c:axId val="2032329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285807"/>
        <c:crosses val="autoZero"/>
        <c:auto val="1"/>
        <c:lblAlgn val="ctr"/>
        <c:lblOffset val="100"/>
        <c:noMultiLvlLbl val="0"/>
      </c:catAx>
      <c:valAx>
        <c:axId val="2285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032329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704850</xdr:colOff>
      <xdr:row>4</xdr:row>
      <xdr:rowOff>12700</xdr:rowOff>
    </xdr:from>
    <xdr:to>
      <xdr:col>9</xdr:col>
      <xdr:colOff>69850</xdr:colOff>
      <xdr:row>20</xdr:row>
      <xdr:rowOff>114300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1745D64-0CB4-AC09-5CF4-5E1585B3B5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2</xdr:row>
      <xdr:rowOff>0</xdr:rowOff>
    </xdr:from>
    <xdr:to>
      <xdr:col>11</xdr:col>
      <xdr:colOff>12700</xdr:colOff>
      <xdr:row>19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AA4B2C30-9725-244A-67CF-B67DECC30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765175</xdr:colOff>
      <xdr:row>3</xdr:row>
      <xdr:rowOff>146050</xdr:rowOff>
    </xdr:from>
    <xdr:to>
      <xdr:col>7</xdr:col>
      <xdr:colOff>327025</xdr:colOff>
      <xdr:row>20</xdr:row>
      <xdr:rowOff>82550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5A84201-A334-5470-62BD-CDA0280EDC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o Hnin Pwint" refreshedDate="46287.973084259262" createdVersion="8" refreshedVersion="8" minRefreshableVersion="3" recordCount="500" xr:uid="{CC88015F-0442-4CB5-80E8-6D03F5C2550D}">
  <cacheSource type="worksheet">
    <worksheetSource name="HotelSales"/>
  </cacheSource>
  <cacheFields count="16">
    <cacheField name="Booking_ID" numFmtId="0">
      <sharedItems count="500">
        <s v="B0474"/>
        <s v="B0045"/>
        <s v="B0322"/>
        <s v="B0487"/>
        <s v="B0097"/>
        <s v="B0355"/>
        <s v="B0203"/>
        <s v="B0156"/>
        <s v="B0242"/>
        <s v="B0027"/>
        <s v="B0363"/>
        <s v="B0469"/>
        <s v="B0052"/>
        <s v="B0375"/>
        <s v="B0443"/>
        <s v="B0408"/>
        <s v="B0492"/>
        <s v="B0448"/>
        <s v="B0138"/>
        <s v="B0480"/>
        <s v="B0237"/>
        <s v="B0169"/>
        <s v="B0351"/>
        <s v="B0254"/>
        <s v="B0419"/>
        <s v="B0409"/>
        <s v="B0283"/>
        <s v="B0300"/>
        <s v="B0390"/>
        <s v="B0384"/>
        <s v="B0209"/>
        <s v="B0160"/>
        <s v="B0418"/>
        <s v="B0194"/>
        <s v="B0001"/>
        <s v="B0114"/>
        <s v="B0090"/>
        <s v="B0204"/>
        <s v="B0429"/>
        <s v="B0098"/>
        <s v="B0367"/>
        <s v="B0394"/>
        <s v="B0018"/>
        <s v="B0036"/>
        <s v="B0009"/>
        <s v="B0333"/>
        <s v="B0230"/>
        <s v="B0392"/>
        <s v="B0092"/>
        <s v="B0483"/>
        <s v="B0006"/>
        <s v="B0028"/>
        <s v="B0452"/>
        <s v="B0304"/>
        <s v="B0293"/>
        <s v="B0065"/>
        <s v="B0272"/>
        <s v="B0171"/>
        <s v="B0198"/>
        <s v="B0032"/>
        <s v="B0083"/>
        <s v="B0485"/>
        <s v="B0053"/>
        <s v="B0010"/>
        <s v="B0089"/>
        <s v="B0095"/>
        <s v="B0280"/>
        <s v="B0314"/>
        <s v="B0321"/>
        <s v="B0350"/>
        <s v="B0238"/>
        <s v="B0020"/>
        <s v="B0291"/>
        <s v="B0116"/>
        <s v="B0117"/>
        <s v="B0287"/>
        <s v="B0294"/>
        <s v="B0244"/>
        <s v="B0007"/>
        <s v="B0471"/>
        <s v="B0049"/>
        <s v="B0373"/>
        <s v="B0033"/>
        <s v="B0458"/>
        <s v="B0013"/>
        <s v="B0190"/>
        <s v="B0179"/>
        <s v="B0164"/>
        <s v="B0286"/>
        <s v="B0107"/>
        <s v="B0411"/>
        <s v="B0220"/>
        <s v="B0342"/>
        <s v="B0250"/>
        <s v="B0177"/>
        <s v="B0101"/>
        <s v="B0146"/>
        <s v="B0442"/>
        <s v="B0126"/>
        <s v="B0315"/>
        <s v="B0249"/>
        <s v="B0191"/>
        <s v="B0425"/>
        <s v="B0189"/>
        <s v="B0174"/>
        <s v="B0490"/>
        <s v="B0216"/>
        <s v="B0182"/>
        <s v="B0211"/>
        <s v="B0022"/>
        <s v="B0313"/>
        <s v="B0141"/>
        <s v="B0275"/>
        <s v="B0499"/>
        <s v="B0423"/>
        <s v="B0459"/>
        <s v="B0395"/>
        <s v="B0125"/>
        <s v="B0057"/>
        <s v="B0168"/>
        <s v="B0035"/>
        <s v="B0475"/>
        <s v="B0214"/>
        <s v="B0165"/>
        <s v="B0362"/>
        <s v="B0142"/>
        <s v="B0167"/>
        <s v="B0338"/>
        <s v="B0268"/>
        <s v="B0296"/>
        <s v="B0473"/>
        <s v="B0282"/>
        <s v="B0470"/>
        <s v="B0476"/>
        <s v="B0500"/>
        <s v="B0178"/>
        <s v="B0234"/>
        <s v="B0093"/>
        <s v="B0422"/>
        <s v="B0158"/>
        <s v="B0241"/>
        <s v="B0431"/>
        <s v="B0405"/>
        <s v="B0464"/>
        <s v="B0412"/>
        <s v="B0311"/>
        <s v="B0014"/>
        <s v="B0140"/>
        <s v="B0153"/>
        <s v="B0016"/>
        <s v="B0440"/>
        <s v="B0281"/>
        <s v="B0172"/>
        <s v="B0352"/>
        <s v="B0318"/>
        <s v="B0488"/>
        <s v="B0157"/>
        <s v="B0240"/>
        <s v="B0472"/>
        <s v="B0038"/>
        <s v="B0206"/>
        <s v="B0468"/>
        <s v="B0410"/>
        <s v="B0257"/>
        <s v="B0102"/>
        <s v="B0004"/>
        <s v="B0133"/>
        <s v="B0496"/>
        <s v="B0186"/>
        <s v="B0454"/>
        <s v="B0139"/>
        <s v="B0377"/>
        <s v="B0154"/>
        <s v="B0407"/>
        <s v="B0285"/>
        <s v="B0113"/>
        <s v="B0193"/>
        <s v="B0094"/>
        <s v="B0290"/>
        <s v="B0370"/>
        <s v="B0481"/>
        <s v="B0047"/>
        <s v="B0479"/>
        <s v="B0123"/>
        <s v="B0337"/>
        <s v="B0026"/>
        <s v="B0170"/>
        <s v="B0096"/>
        <s v="B0225"/>
        <s v="B0445"/>
        <s v="B0118"/>
        <s v="B0213"/>
        <s v="B0260"/>
        <s v="B0012"/>
        <s v="B0489"/>
        <s v="B0456"/>
        <s v="B0497"/>
        <s v="B0005"/>
        <s v="B0106"/>
        <s v="B0109"/>
        <s v="B0043"/>
        <s v="B0112"/>
        <s v="B0217"/>
        <s v="B0218"/>
        <s v="B0058"/>
        <s v="B0339"/>
        <s v="B0232"/>
        <s v="B0430"/>
        <s v="B0197"/>
        <s v="B0235"/>
        <s v="B0243"/>
        <s v="B0307"/>
        <s v="B0104"/>
        <s v="B0017"/>
        <s v="B0441"/>
        <s v="B0447"/>
        <s v="B0279"/>
        <s v="B0273"/>
        <s v="B0227"/>
        <s v="B0046"/>
        <s v="B0151"/>
        <s v="B0376"/>
        <s v="B0201"/>
        <s v="B0070"/>
        <s v="B0495"/>
        <s v="B0258"/>
        <s v="B0262"/>
        <s v="B0267"/>
        <s v="B0402"/>
        <s v="B0324"/>
        <s v="B0060"/>
        <s v="B0332"/>
        <s v="B0301"/>
        <s v="B0127"/>
        <s v="B0348"/>
        <s v="B0082"/>
        <s v="B0176"/>
        <s v="B0086"/>
        <s v="B0433"/>
        <s v="B0223"/>
        <s v="B0134"/>
        <s v="B0435"/>
        <s v="B0319"/>
        <s v="B0129"/>
        <s v="B0330"/>
        <s v="B0467"/>
        <s v="B0383"/>
        <s v="B0493"/>
        <s v="B0008"/>
        <s v="B0075"/>
        <s v="B0305"/>
        <s v="B0144"/>
        <s v="B0073"/>
        <s v="B0439"/>
        <s v="B0347"/>
        <s v="B0457"/>
        <s v="B0432"/>
        <s v="B0136"/>
        <s v="B0404"/>
        <s v="B0388"/>
        <s v="B0343"/>
        <s v="B0200"/>
        <s v="B0416"/>
        <s v="B0462"/>
        <s v="B0162"/>
        <s v="B0354"/>
        <s v="B0436"/>
        <s v="B0389"/>
        <s v="B0494"/>
        <s v="B0449"/>
        <s v="B0212"/>
        <s v="B0003"/>
        <s v="B0391"/>
        <s v="B0077"/>
        <s v="B0161"/>
        <s v="B0115"/>
        <s v="B0150"/>
        <s v="B0152"/>
        <s v="B0385"/>
        <s v="B0105"/>
        <s v="B0438"/>
        <s v="B0135"/>
        <s v="B0278"/>
        <s v="B0122"/>
        <s v="B0361"/>
        <s v="B0450"/>
        <s v="B0019"/>
        <s v="B0173"/>
        <s v="B0056"/>
        <s v="B0484"/>
        <s v="B0427"/>
        <s v="B0400"/>
        <s v="B0029"/>
        <s v="B0334"/>
        <s v="B0224"/>
        <s v="B0357"/>
        <s v="B0024"/>
        <s v="B0228"/>
        <s v="B0360"/>
        <s v="B0341"/>
        <s v="B0108"/>
        <s v="B0263"/>
        <s v="B0099"/>
        <s v="B0192"/>
        <s v="B0317"/>
        <s v="B0059"/>
        <s v="B0088"/>
        <s v="B0312"/>
        <s v="B0276"/>
        <s v="B0265"/>
        <s v="B0325"/>
        <s v="B0378"/>
        <s v="B0299"/>
        <s v="B0120"/>
        <s v="B0371"/>
        <s v="B0051"/>
        <s v="B0196"/>
        <s v="B0195"/>
        <s v="B0188"/>
        <s v="B0417"/>
        <s v="B0062"/>
        <s v="B0207"/>
        <s v="B0434"/>
        <s v="B0498"/>
        <s v="B0302"/>
        <s v="B0180"/>
        <s v="B0259"/>
        <s v="B0366"/>
        <s v="B0331"/>
        <s v="B0055"/>
        <s v="B0482"/>
        <s v="B0446"/>
        <s v="B0023"/>
        <s v="B0316"/>
        <s v="B0266"/>
        <s v="B0255"/>
        <s v="B0328"/>
        <s v="B0015"/>
        <s v="B0381"/>
        <s v="B0270"/>
        <s v="B0353"/>
        <s v="B0078"/>
        <s v="B0159"/>
        <s v="B0181"/>
        <s v="B0420"/>
        <s v="B0044"/>
        <s v="B0463"/>
        <s v="B0247"/>
        <s v="B0184"/>
        <s v="B0245"/>
        <s v="B0048"/>
        <s v="B0424"/>
        <s v="B0110"/>
        <s v="B0437"/>
        <s v="B0079"/>
        <s v="B0066"/>
        <s v="B0374"/>
        <s v="B0183"/>
        <s v="B0248"/>
        <s v="B0274"/>
        <s v="B0335"/>
        <s v="B0251"/>
        <s v="B0340"/>
        <s v="B0297"/>
        <s v="B0199"/>
        <s v="B0147"/>
        <s v="B0364"/>
        <s v="B0041"/>
        <s v="B0222"/>
        <s v="B0421"/>
        <s v="B0149"/>
        <s v="B0264"/>
        <s v="B0205"/>
        <s v="B0428"/>
        <s v="B0346"/>
        <s v="B0426"/>
        <s v="B0085"/>
        <s v="B0308"/>
        <s v="B0226"/>
        <s v="B0415"/>
        <s v="B0310"/>
        <s v="B0187"/>
        <s v="B0175"/>
        <s v="B0061"/>
        <s v="B0100"/>
        <s v="B0477"/>
        <s v="B0080"/>
        <s v="B0252"/>
        <s v="B0466"/>
        <s v="B0344"/>
        <s v="B0298"/>
        <s v="B0074"/>
        <s v="B0137"/>
        <s v="B0148"/>
        <s v="B0021"/>
        <s v="B0413"/>
        <s v="B0071"/>
        <s v="B0210"/>
        <s v="B0478"/>
        <s v="B0233"/>
        <s v="B0103"/>
        <s v="B0130"/>
        <s v="B0236"/>
        <s v="B0054"/>
        <s v="B0398"/>
        <s v="B0034"/>
        <s v="B0292"/>
        <s v="B0221"/>
        <s v="B0369"/>
        <s v="B0486"/>
        <s v="B0039"/>
        <s v="B0229"/>
        <s v="B0397"/>
        <s v="B0239"/>
        <s v="B0121"/>
        <s v="B0365"/>
        <s v="B0087"/>
        <s v="B0396"/>
        <s v="B0295"/>
        <s v="B0277"/>
        <s v="B0208"/>
        <s v="B0256"/>
        <s v="B0284"/>
        <s v="B0306"/>
        <s v="B0372"/>
        <s v="B0143"/>
        <s v="B0081"/>
        <s v="B0327"/>
        <s v="B0128"/>
        <s v="B0119"/>
        <s v="B0393"/>
        <s v="B0386"/>
        <s v="B0399"/>
        <s v="B0406"/>
        <s v="B0037"/>
        <s v="B0124"/>
        <s v="B0461"/>
        <s v="B0040"/>
        <s v="B0063"/>
        <s v="B0382"/>
        <s v="B0271"/>
        <s v="B0414"/>
        <s v="B0368"/>
        <s v="B0288"/>
        <s v="B0215"/>
        <s v="B0380"/>
        <s v="B0231"/>
        <s v="B0465"/>
        <s v="B0067"/>
        <s v="B0336"/>
        <s v="B0246"/>
        <s v="B0444"/>
        <s v="B0253"/>
        <s v="B0042"/>
        <s v="B0219"/>
        <s v="B0068"/>
        <s v="B0455"/>
        <s v="B0451"/>
        <s v="B0460"/>
        <s v="B0379"/>
        <s v="B0145"/>
        <s v="B0345"/>
        <s v="B0011"/>
        <s v="B0359"/>
        <s v="B0155"/>
        <s v="B0491"/>
        <s v="B0349"/>
        <s v="B0326"/>
        <s v="B0289"/>
        <s v="B0166"/>
        <s v="B0323"/>
        <s v="B0030"/>
        <s v="B0069"/>
        <s v="B0403"/>
        <s v="B0031"/>
        <s v="B0185"/>
        <s v="B0132"/>
        <s v="B0269"/>
        <s v="B0329"/>
        <s v="B0309"/>
        <s v="B0131"/>
        <s v="B0356"/>
        <s v="B0163"/>
        <s v="B0387"/>
        <s v="B0064"/>
        <s v="B0453"/>
        <s v="B0076"/>
        <s v="B0091"/>
        <s v="B0084"/>
        <s v="B0358"/>
        <s v="B0050"/>
        <s v="B0111"/>
        <s v="B0002"/>
        <s v="B0303"/>
        <s v="B0072"/>
        <s v="B0025"/>
        <s v="B0261"/>
        <s v="B0202"/>
        <s v="B0401"/>
        <s v="B0320"/>
      </sharedItems>
    </cacheField>
    <cacheField name="Customer_ID" numFmtId="0">
      <sharedItems count="262">
        <s v="C0223"/>
        <s v="C0167"/>
        <s v="C0158"/>
        <s v="C0340"/>
        <s v="C0136"/>
        <s v="C0155"/>
        <s v="C0343"/>
        <s v="C0134"/>
        <s v="C0338"/>
        <s v="C0236"/>
        <s v="C0247"/>
        <s v="C0246"/>
        <s v="C0346"/>
        <s v="C0143"/>
        <s v="C0069"/>
        <s v="C0311"/>
        <s v="C0179"/>
        <s v="C0154"/>
        <s v="C0222"/>
        <s v="C0004"/>
        <s v="C0148"/>
        <s v="C0283"/>
        <s v="C0288"/>
        <s v="C0002"/>
        <s v="C0275"/>
        <s v="C0308"/>
        <s v="C0194"/>
        <s v="C0342"/>
        <s v="C0063"/>
        <s v="C0172"/>
        <s v="C0044"/>
        <s v="C0319"/>
        <s v="C0101"/>
        <s v="C0103"/>
        <s v="C0216"/>
        <s v="C0301"/>
        <s v="C0224"/>
        <s v="C0058"/>
        <s v="C0316"/>
        <s v="C0326"/>
        <s v="C0258"/>
        <s v="C0051"/>
        <s v="C0122"/>
        <s v="C0099"/>
        <s v="C0180"/>
        <s v="C0345"/>
        <s v="C0336"/>
        <s v="C0189"/>
        <s v="C0285"/>
        <s v="C0264"/>
        <s v="C0135"/>
        <s v="C0310"/>
        <s v="C0075"/>
        <s v="C0116"/>
        <s v="C0113"/>
        <s v="C0188"/>
        <s v="C0280"/>
        <s v="C0053"/>
        <s v="C0215"/>
        <s v="C0015"/>
        <s v="C0344"/>
        <s v="C0153"/>
        <s v="C0147"/>
        <s v="C0220"/>
        <s v="C0114"/>
        <s v="C0199"/>
        <s v="C0294"/>
        <s v="C0277"/>
        <s v="C0169"/>
        <s v="C0195"/>
        <s v="C0267"/>
        <s v="C0021"/>
        <s v="C0100"/>
        <s v="C0014"/>
        <s v="C0271"/>
        <s v="C0204"/>
        <s v="C0052"/>
        <s v="C0307"/>
        <s v="C0128"/>
        <s v="C0208"/>
        <s v="C0269"/>
        <s v="C0018"/>
        <s v="C0144"/>
        <s v="C0165"/>
        <s v="C0163"/>
        <s v="C0160"/>
        <s v="C0192"/>
        <s v="C0255"/>
        <s v="C0252"/>
        <s v="C0268"/>
        <s v="C0318"/>
        <s v="C0198"/>
        <s v="C0184"/>
        <s v="C0152"/>
        <s v="C0304"/>
        <s v="C0043"/>
        <s v="C0229"/>
        <s v="C0218"/>
        <s v="C0035"/>
        <s v="C0225"/>
        <s v="C0175"/>
        <s v="C0250"/>
        <s v="C0324"/>
        <s v="C0348"/>
        <s v="C0170"/>
        <s v="C0171"/>
        <s v="C0190"/>
        <s v="C0161"/>
        <s v="C0054"/>
        <s v="C0033"/>
        <s v="C0325"/>
        <s v="C0327"/>
        <s v="C0028"/>
        <s v="C0039"/>
        <s v="C0001"/>
        <s v="C0262"/>
        <s v="C0254"/>
        <s v="C0124"/>
        <s v="C0284"/>
        <s v="C0237"/>
        <s v="C0150"/>
        <s v="C0272"/>
        <s v="C0349"/>
        <s v="C0233"/>
        <s v="C0049"/>
        <s v="C0290"/>
        <s v="C0244"/>
        <s v="C0126"/>
        <s v="C0010"/>
        <s v="C0140"/>
        <s v="C0289"/>
        <s v="C0107"/>
        <s v="C0065"/>
        <s v="C0231"/>
        <s v="C0322"/>
        <s v="C0045"/>
        <s v="C0047"/>
        <s v="C0062"/>
        <s v="C0009"/>
        <s v="C0173"/>
        <s v="C0016"/>
        <s v="C0089"/>
        <s v="C0257"/>
        <s v="C0253"/>
        <s v="C0121"/>
        <s v="C0129"/>
        <s v="C0214"/>
        <s v="C0088"/>
        <s v="C0178"/>
        <s v="C0094"/>
        <s v="C0168"/>
        <s v="C0072"/>
        <s v="C0328"/>
        <s v="C0048"/>
        <s v="C0123"/>
        <s v="C0206"/>
        <s v="C0256"/>
        <s v="C0259"/>
        <s v="C0187"/>
        <s v="C0226"/>
        <s v="C0309"/>
        <s v="C0076"/>
        <s v="C0201"/>
        <s v="C0274"/>
        <s v="C0092"/>
        <s v="C0202"/>
        <s v="C0323"/>
        <s v="C0037"/>
        <s v="C0005"/>
        <s v="C0006"/>
        <s v="C0050"/>
        <s v="C0095"/>
        <s v="C0038"/>
        <s v="C0174"/>
        <s v="C0017"/>
        <s v="C0302"/>
        <s v="C0186"/>
        <s v="C0036"/>
        <s v="C0238"/>
        <s v="C0239"/>
        <s v="C0196"/>
        <s v="C0314"/>
        <s v="C0281"/>
        <s v="C0130"/>
        <s v="C0145"/>
        <s v="C0286"/>
        <s v="C0127"/>
        <s v="C0118"/>
        <s v="C0305"/>
        <s v="C0296"/>
        <s v="C0293"/>
        <s v="C0086"/>
        <s v="C0066"/>
        <s v="C0041"/>
        <s v="C0241"/>
        <s v="C0112"/>
        <s v="C0131"/>
        <s v="C0060"/>
        <s v="C0240"/>
        <s v="C0104"/>
        <s v="C0176"/>
        <s v="C0139"/>
        <s v="C0295"/>
        <s v="C0081"/>
        <s v="C0157"/>
        <s v="C0317"/>
        <s v="C0227"/>
        <s v="C0020"/>
        <s v="C0265"/>
        <s v="C0120"/>
        <s v="C0096"/>
        <s v="C0330"/>
        <s v="C0230"/>
        <s v="C0234"/>
        <s v="C0013"/>
        <s v="C0181"/>
        <s v="C0151"/>
        <s v="C0213"/>
        <s v="C0108"/>
        <s v="C0329"/>
        <s v="C0117"/>
        <s v="C0191"/>
        <s v="C0142"/>
        <s v="C0315"/>
        <s v="C0263"/>
        <s v="C0026"/>
        <s v="C0098"/>
        <s v="C0243"/>
        <s v="C0279"/>
        <s v="C0097"/>
        <s v="C0137"/>
        <s v="C0023"/>
        <s v="C0022"/>
        <s v="C0106"/>
        <s v="C0270"/>
        <s v="C0261"/>
        <s v="C0320"/>
        <s v="C0306"/>
        <s v="C0027"/>
        <s v="C0321"/>
        <s v="C0029"/>
        <s v="C0207"/>
        <s v="C0125"/>
        <s v="C0350"/>
        <s v="C0055"/>
        <s v="C0313"/>
        <s v="C0203"/>
        <s v="C0298"/>
        <s v="C0278"/>
        <s v="C0185"/>
        <s v="C0341"/>
        <s v="C0331"/>
        <s v="C0068"/>
        <s v="C0046"/>
        <s v="C0059"/>
        <s v="C0162"/>
        <s v="C0042"/>
        <s v="C0273"/>
        <s v="C0260"/>
        <s v="C0217"/>
        <s v="C0299"/>
        <s v="C0242"/>
      </sharedItems>
    </cacheField>
    <cacheField name="Booking_Date" numFmtId="14">
      <sharedItems containsSemiMixedTypes="0" containsNonDate="0" containsDate="1" containsString="0" minDate="2025-01-01T18:47:41" maxDate="2025-12-14T22:17:11" count="500">
        <d v="2025-01-01T18:47:41"/>
        <d v="2025-01-01T19:37:20"/>
        <d v="2025-01-02T01:36:33"/>
        <d v="2025-01-02T08:47:13"/>
        <d v="2025-01-03T06:56:15"/>
        <d v="2025-01-04T18:55:59"/>
        <d v="2025-01-05T21:39:30"/>
        <d v="2025-01-06T04:32:25"/>
        <d v="2025-01-06T18:12:42"/>
        <d v="2025-01-07T03:43:51"/>
        <d v="2025-01-07T08:50:22"/>
        <d v="2025-01-08T08:33:25"/>
        <d v="2025-01-08T19:38:30"/>
        <d v="2025-01-09T04:34:49"/>
        <d v="2025-01-13T09:50:00"/>
        <d v="2025-01-13T09:57:27"/>
        <d v="2025-01-15T01:38:22"/>
        <d v="2025-01-15T03:41:09"/>
        <d v="2025-01-15T21:24:03"/>
        <d v="2025-01-16T03:11:46"/>
        <d v="2025-01-16T13:20:27"/>
        <d v="2025-01-17T20:08:28"/>
        <d v="2025-01-18T18:07:06"/>
        <d v="2025-01-19T12:33:16"/>
        <d v="2025-01-19T12:53:16"/>
        <d v="2025-01-19T21:05:07"/>
        <d v="2025-01-19T22:12:36"/>
        <d v="2025-01-20T22:25:20"/>
        <d v="2025-01-22T09:43:16"/>
        <d v="2025-01-22T11:16:11"/>
        <d v="2025-01-22T16:23:41"/>
        <d v="2025-01-22T18:04:50"/>
        <d v="2025-01-23T02:45:05"/>
        <d v="2025-01-26T18:08:20"/>
        <d v="2025-01-27T00:43:08"/>
        <d v="2025-01-27T08:19:20"/>
        <d v="2025-01-27T19:42:16"/>
        <d v="2025-01-28T11:12:19"/>
        <d v="2025-01-28T13:45:57"/>
        <d v="2025-01-28T14:54:48"/>
        <d v="2025-01-29T09:35:52"/>
        <d v="2025-01-30T05:55:54"/>
        <d v="2025-01-31T01:31:20"/>
        <d v="2025-01-31T13:25:28"/>
        <d v="2025-01-31T15:46:30"/>
        <d v="2025-01-31T18:29:31"/>
        <d v="2025-01-31T21:04:27"/>
        <d v="2025-02-01T03:34:36"/>
        <d v="2025-02-01T23:40:42"/>
        <d v="2025-02-04T08:00:22"/>
        <d v="2025-02-04T10:44:02"/>
        <d v="2025-02-04T14:24:35"/>
        <d v="2025-02-06T04:09:14"/>
        <d v="2025-02-06T23:52:20"/>
        <d v="2025-02-07T15:08:18"/>
        <d v="2025-02-07T18:55:08"/>
        <d v="2025-02-08T08:44:52"/>
        <d v="2025-02-08T09:59:04"/>
        <d v="2025-02-08T15:20:42"/>
        <d v="2025-02-09T00:02:00"/>
        <d v="2025-02-11T15:57:45"/>
        <d v="2025-02-12T22:10:54"/>
        <d v="2025-02-13T07:13:16"/>
        <d v="2025-02-13T13:17:04"/>
        <d v="2025-02-13T16:00:11"/>
        <d v="2025-02-13T20:19:00"/>
        <d v="2025-02-15T06:55:42"/>
        <d v="2025-02-16T00:47:46"/>
        <d v="2025-02-16T18:21:19"/>
        <d v="2025-02-17T11:04:33"/>
        <d v="2025-02-18T05:21:40"/>
        <d v="2025-02-18T13:59:31"/>
        <d v="2025-02-20T07:09:20"/>
        <d v="2025-02-21T00:30:49"/>
        <d v="2025-02-21T05:30:19"/>
        <d v="2025-02-21T15:50:18"/>
        <d v="2025-02-21T16:19:10"/>
        <d v="2025-02-22T23:43:58"/>
        <d v="2025-02-23T00:14:41"/>
        <d v="2025-02-23T01:18:17"/>
        <d v="2025-02-23T04:21:17"/>
        <d v="2025-02-23T21:48:13"/>
        <d v="2025-02-24T12:37:55"/>
        <d v="2025-02-25T08:34:43"/>
        <d v="2025-02-25T22:32:57"/>
        <d v="2025-02-26T02:44:47"/>
        <d v="2025-02-27T06:51:39"/>
        <d v="2025-02-27T16:34:05"/>
        <d v="2025-02-27T21:10:45"/>
        <d v="2025-02-28T20:09:29"/>
        <d v="2025-03-01T02:29:23"/>
        <d v="2025-03-01T05:55:22"/>
        <d v="2025-03-01T18:54:39"/>
        <d v="2025-03-02T14:46:36"/>
        <d v="2025-03-03T09:28:29"/>
        <d v="2025-03-03T17:17:40"/>
        <d v="2025-03-04T14:44:21"/>
        <d v="2025-03-05T03:29:30"/>
        <d v="2025-03-05T05:26:50"/>
        <d v="2025-03-06T08:09:16"/>
        <d v="2025-03-06T09:01:07"/>
        <d v="2025-03-07T11:53:16"/>
        <d v="2025-03-08T05:53:21"/>
        <d v="2025-03-08T12:29:32"/>
        <d v="2025-03-09T04:54:26"/>
        <d v="2025-03-09T23:12:34"/>
        <d v="2025-03-11T01:31:46"/>
        <d v="2025-03-12T04:08:23"/>
        <d v="2025-03-12T09:25:50"/>
        <d v="2025-03-12T19:41:40"/>
        <d v="2025-03-13T16:53:20"/>
        <d v="2025-03-13T18:24:06"/>
        <d v="2025-03-14T17:51:28"/>
        <d v="2025-03-14T19:55:18"/>
        <d v="2025-03-15T11:29:24"/>
        <d v="2025-03-17T06:00:32"/>
        <d v="2025-03-17T19:19:06"/>
        <d v="2025-03-18T22:18:25"/>
        <d v="2025-03-19T14:47:04"/>
        <d v="2025-03-20T00:54:31"/>
        <d v="2025-03-21T08:01:40"/>
        <d v="2025-03-21T09:33:11"/>
        <d v="2025-03-22T03:51:17"/>
        <d v="2025-03-22T07:41:45"/>
        <d v="2025-03-22T11:35:57"/>
        <d v="2025-03-22T19:58:16"/>
        <d v="2025-03-23T01:09:47"/>
        <d v="2025-03-24T04:49:33"/>
        <d v="2025-03-24T14:13:49"/>
        <d v="2025-03-25T21:51:43"/>
        <d v="2025-03-27T19:21:58"/>
        <d v="2025-03-28T10:40:10"/>
        <d v="2025-03-28T13:43:41"/>
        <d v="2025-03-29T18:59:13"/>
        <d v="2025-03-29T19:42:48"/>
        <d v="2025-03-30T18:03:36"/>
        <d v="2025-03-30T23:14:01"/>
        <d v="2025-03-31T00:01:24"/>
        <d v="2025-03-31T18:46:42"/>
        <d v="2025-04-01T14:18:14"/>
        <d v="2025-04-02T06:07:59"/>
        <d v="2025-04-02T11:34:29"/>
        <d v="2025-04-03T14:38:02"/>
        <d v="2025-04-04T13:18:43"/>
        <d v="2025-04-06T07:24:39"/>
        <d v="2025-04-06T11:02:32"/>
        <d v="2025-04-06T18:00:41"/>
        <d v="2025-04-07T05:49:50"/>
        <d v="2025-04-08T09:36:38"/>
        <d v="2025-04-08T20:29:21"/>
        <d v="2025-04-09T03:41:13"/>
        <d v="2025-04-09T09:30:24"/>
        <d v="2025-04-11T14:54:30"/>
        <d v="2025-04-11T17:53:54"/>
        <d v="2025-04-14T09:54:05"/>
        <d v="2025-04-15T09:14:33"/>
        <d v="2025-04-16T18:14:42"/>
        <d v="2025-04-17T05:57:55"/>
        <d v="2025-04-17T12:35:39"/>
        <d v="2025-04-17T17:45:35"/>
        <d v="2025-04-18T00:32:46"/>
        <d v="2025-04-18T17:02:47"/>
        <d v="2025-04-19T23:51:03"/>
        <d v="2025-04-21T14:13:16"/>
        <d v="2025-04-21T23:50:01"/>
        <d v="2025-04-23T07:11:41"/>
        <d v="2025-04-23T13:44:50"/>
        <d v="2025-04-24T13:06:44"/>
        <d v="2025-04-24T14:09:09"/>
        <d v="2025-04-24T15:15:59"/>
        <d v="2025-04-25T20:09:52"/>
        <d v="2025-04-26T19:02:40"/>
        <d v="2025-04-27T16:05:46"/>
        <d v="2025-04-28T01:42:39"/>
        <d v="2025-04-28T12:53:44"/>
        <d v="2025-04-28T15:33:31"/>
        <d v="2025-04-29T00:09:18"/>
        <d v="2025-04-29T00:54:59"/>
        <d v="2025-04-29T20:49:16"/>
        <d v="2025-04-30T10:54:15"/>
        <d v="2025-04-30T21:43:34"/>
        <d v="2025-05-01T05:59:59"/>
        <d v="2025-05-02T03:23:35"/>
        <d v="2025-05-02T19:34:01"/>
        <d v="2025-05-03T19:41:17"/>
        <d v="2025-05-03T21:14:04"/>
        <d v="2025-05-04T04:11:42"/>
        <d v="2025-05-06T02:21:10"/>
        <d v="2025-05-06T20:30:03"/>
        <d v="2025-05-07T00:51:04"/>
        <d v="2025-05-07T10:13:57"/>
        <d v="2025-05-08T03:54:28"/>
        <d v="2025-05-09T01:57:06"/>
        <d v="2025-05-09T10:58:36"/>
        <d v="2025-05-09T11:01:57"/>
        <d v="2025-05-09T23:59:12"/>
        <d v="2025-05-10T01:36:27"/>
        <d v="2025-05-10T02:08:01"/>
        <d v="2025-05-12T22:12:46"/>
        <d v="2025-05-13T06:09:38"/>
        <d v="2025-05-14T16:58:11"/>
        <d v="2025-05-15T12:57:46"/>
        <d v="2025-05-16T05:41:35"/>
        <d v="2025-05-16T11:53:58"/>
        <d v="2025-05-16T15:41:17"/>
        <d v="2025-05-17T23:15:06"/>
        <d v="2025-05-18T05:53:29"/>
        <d v="2025-05-18T10:48:52"/>
        <d v="2025-05-18T14:44:36"/>
        <d v="2025-05-21T19:00:11"/>
        <d v="2025-05-22T15:15:01"/>
        <d v="2025-05-22T16:50:26"/>
        <d v="2025-05-23T17:32:22"/>
        <d v="2025-05-24T06:23:46"/>
        <d v="2025-05-24T21:39:56"/>
        <d v="2025-05-25T04:18:00"/>
        <d v="2025-05-25T05:10:55"/>
        <d v="2025-05-26T15:00:06"/>
        <d v="2025-05-27T09:38:35"/>
        <d v="2025-05-28T21:51:34"/>
        <d v="2025-05-29T12:19:55"/>
        <d v="2025-05-29T13:40:02"/>
        <d v="2025-05-29T15:24:19"/>
        <d v="2025-05-31T09:08:27"/>
        <d v="2025-05-31T15:10:46"/>
        <d v="2025-05-31T17:06:13"/>
        <d v="2025-06-01T00:01:08"/>
        <d v="2025-06-01T04:01:59"/>
        <d v="2025-06-01T09:49:42"/>
        <d v="2025-06-01T11:47:42"/>
        <d v="2025-06-02T23:34:08"/>
        <d v="2025-06-03T14:12:01"/>
        <d v="2025-06-03T21:59:32"/>
        <d v="2025-06-04T23:00:09"/>
        <d v="2025-06-05T04:45:08"/>
        <d v="2025-06-05T08:44:02"/>
        <d v="2025-06-05T15:59:23"/>
        <d v="2025-06-05T17:50:44"/>
        <d v="2025-06-07T18:08:04"/>
        <d v="2025-06-07T21:35:11"/>
        <d v="2025-06-08T02:23:03"/>
        <d v="2025-06-09T12:08:57"/>
        <d v="2025-06-10T02:24:00"/>
        <d v="2025-06-10T06:07:00"/>
        <d v="2025-06-11T09:12:34"/>
        <d v="2025-06-13T06:41:02"/>
        <d v="2025-06-13T16:23:44"/>
        <d v="2025-06-14T09:00:47"/>
        <d v="2025-06-15T00:02:42"/>
        <d v="2025-06-16T03:59:04"/>
        <d v="2025-06-17T03:30:44"/>
        <d v="2025-06-17T22:19:47"/>
        <d v="2025-06-18T16:10:58"/>
        <d v="2025-06-19T20:57:49"/>
        <d v="2025-06-19T22:08:36"/>
        <d v="2025-06-21T00:15:21"/>
        <d v="2025-06-21T10:03:44"/>
        <d v="2025-06-21T17:32:48"/>
        <d v="2025-06-22T06:08:30"/>
        <d v="2025-06-22T11:57:21"/>
        <d v="2025-06-23T03:56:46"/>
        <d v="2025-06-23T04:39:00"/>
        <d v="2025-06-23T17:58:52"/>
        <d v="2025-06-25T09:09:54"/>
        <d v="2025-06-26T00:45:00"/>
        <d v="2025-06-26T22:01:09"/>
        <d v="2025-06-28T13:44:13"/>
        <d v="2025-06-29T20:39:33"/>
        <d v="2025-06-29T20:43:04"/>
        <d v="2025-06-30T15:34:06"/>
        <d v="2025-07-01T03:18:24"/>
        <d v="2025-07-01T12:33:15"/>
        <d v="2025-07-02T02:36:49"/>
        <d v="2025-07-02T17:30:03"/>
        <d v="2025-07-03T01:00:28"/>
        <d v="2025-07-03T20:02:17"/>
        <d v="2025-07-04T09:30:36"/>
        <d v="2025-07-04T18:15:17"/>
        <d v="2025-07-05T17:11:47"/>
        <d v="2025-07-06T02:27:25"/>
        <d v="2025-07-06T08:00:48"/>
        <d v="2025-07-07T02:03:24"/>
        <d v="2025-07-09T06:37:05"/>
        <d v="2025-07-10T05:05:43"/>
        <d v="2025-07-10T11:32:33"/>
        <d v="2025-07-11T02:40:55"/>
        <d v="2025-07-11T09:10:30"/>
        <d v="2025-07-11T18:01:36"/>
        <d v="2025-07-11T22:32:02"/>
        <d v="2025-07-12T03:03:09"/>
        <d v="2025-07-12T08:09:13"/>
        <d v="2025-07-12T20:41:28"/>
        <d v="2025-07-13T01:14:00"/>
        <d v="2025-07-13T03:51:28"/>
        <d v="2025-07-13T17:03:33"/>
        <d v="2025-07-13T21:08:49"/>
        <d v="2025-07-15T23:59:40"/>
        <d v="2025-07-16T00:59:51"/>
        <d v="2025-07-17T20:32:33"/>
        <d v="2025-07-19T18:08:16"/>
        <d v="2025-07-20T08:34:12"/>
        <d v="2025-07-20T20:08:14"/>
        <d v="2025-07-23T07:05:10"/>
        <d v="2025-07-23T16:24:28"/>
        <d v="2025-07-23T22:38:59"/>
        <d v="2025-07-24T13:52:16"/>
        <d v="2025-07-26T05:04:34"/>
        <d v="2025-07-26T18:22:37"/>
        <d v="2025-07-27T00:46:45"/>
        <d v="2025-07-27T19:34:25"/>
        <d v="2025-07-27T22:01:43"/>
        <d v="2025-07-29T04:28:52"/>
        <d v="2025-07-29T11:58:19"/>
        <d v="2025-07-29T14:26:53"/>
        <d v="2025-07-29T20:10:54"/>
        <d v="2025-07-29T20:52:27"/>
        <d v="2025-07-31T22:40:53"/>
        <d v="2025-08-04T15:46:23"/>
        <d v="2025-08-04T20:10:19"/>
        <d v="2025-08-05T18:06:23"/>
        <d v="2025-08-06T10:00:51"/>
        <d v="2025-08-07T15:46:48"/>
        <d v="2025-08-09T03:59:07"/>
        <d v="2025-08-10T00:31:05"/>
        <d v="2025-08-10T04:15:33"/>
        <d v="2025-08-10T19:28:48"/>
        <d v="2025-08-12T01:41:37"/>
        <d v="2025-08-12T23:13:55"/>
        <d v="2025-08-14T14:38:50"/>
        <d v="2025-08-14T19:51:52"/>
        <d v="2025-08-16T18:20:30"/>
        <d v="2025-08-16T19:36:14"/>
        <d v="2025-08-17T00:01:53"/>
        <d v="2025-08-18T06:29:32"/>
        <d v="2025-08-18T19:56:57"/>
        <d v="2025-08-21T12:06:05"/>
        <d v="2025-08-21T18:40:33"/>
        <d v="2025-08-21T23:53:33"/>
        <d v="2025-08-23T06:22:47"/>
        <d v="2025-08-23T06:40:58"/>
        <d v="2025-08-23T07:29:42"/>
        <d v="2025-08-25T02:19:57"/>
        <d v="2025-08-25T20:05:17"/>
        <d v="2025-08-25T22:26:32"/>
        <d v="2025-08-27T01:31:37"/>
        <d v="2025-08-29T03:06:57"/>
        <d v="2025-08-29T06:36:44"/>
        <d v="2025-08-29T14:28:48"/>
        <d v="2025-08-29T21:18:29"/>
        <d v="2025-08-29T21:56:32"/>
        <d v="2025-08-30T21:24:39"/>
        <d v="2025-08-31T05:11:32"/>
        <d v="2025-09-01T04:00:22"/>
        <d v="2025-09-01T07:47:45"/>
        <d v="2025-09-01T07:50:54"/>
        <d v="2025-09-01T11:49:14"/>
        <d v="2025-09-01T12:58:30"/>
        <d v="2025-09-03T04:50:40"/>
        <d v="2025-09-04T09:35:48"/>
        <d v="2025-09-06T19:20:23"/>
        <d v="2025-09-08T03:12:53"/>
        <d v="2025-09-08T17:20:27"/>
        <d v="2025-09-08T19:21:28"/>
        <d v="2025-09-08T20:46:46"/>
        <d v="2025-09-09T04:43:39"/>
        <d v="2025-09-09T08:16:59"/>
        <d v="2025-09-09T18:17:22"/>
        <d v="2025-09-10T18:56:34"/>
        <d v="2025-09-11T11:19:59"/>
        <d v="2025-09-11T11:25:38"/>
        <d v="2025-09-11T17:53:22"/>
        <d v="2025-09-12T05:18:16"/>
        <d v="2025-09-12T14:50:32"/>
        <d v="2025-09-13T06:52:44"/>
        <d v="2025-09-13T08:58:54"/>
        <d v="2025-09-14T03:34:51"/>
        <d v="2025-09-14T11:25:03"/>
        <d v="2025-09-14T12:50:24"/>
        <d v="2025-09-16T04:09:59"/>
        <d v="2025-09-17T01:43:30"/>
        <d v="2025-09-18T01:35:09"/>
        <d v="2025-09-18T04:42:33"/>
        <d v="2025-09-18T16:03:24"/>
        <d v="2025-09-19T02:19:41"/>
        <d v="2025-09-19T21:41:00"/>
        <d v="2025-09-20T15:23:24"/>
        <d v="2025-09-21T04:45:51"/>
        <d v="2025-09-23T02:05:35"/>
        <d v="2025-09-23T11:38:22"/>
        <d v="2025-09-23T17:02:38"/>
        <d v="2025-09-23T19:39:49"/>
        <d v="2025-09-23T21:48:59"/>
        <d v="2025-09-24T10:41:25"/>
        <d v="2025-09-25T05:29:02"/>
        <d v="2025-09-25T22:56:57"/>
        <d v="2025-09-26T23:49:44"/>
        <d v="2025-09-27T06:07:56"/>
        <d v="2025-09-27T23:58:06"/>
        <d v="2025-09-28T02:03:57"/>
        <d v="2025-09-29T05:07:19"/>
        <d v="2025-10-01T07:37:29"/>
        <d v="2025-10-02T02:04:12"/>
        <d v="2025-10-02T22:52:33"/>
        <d v="2025-10-03T02:01:58"/>
        <d v="2025-10-03T22:23:46"/>
        <d v="2025-10-04T14:45:29"/>
        <d v="2025-10-04T23:29:44"/>
        <d v="2025-10-05T06:06:01"/>
        <d v="2025-10-06T06:36:16"/>
        <d v="2025-10-06T20:24:12"/>
        <d v="2025-10-06T23:27:30"/>
        <d v="2025-10-07T05:49:45"/>
        <d v="2025-10-07T15:44:10"/>
        <d v="2025-10-08T14:31:04"/>
        <d v="2025-10-09T04:37:32"/>
        <d v="2025-10-12T09:39:10"/>
        <d v="2025-10-14T15:52:36"/>
        <d v="2025-10-14T20:37:03"/>
        <d v="2025-10-19T06:37:08"/>
        <d v="2025-10-19T14:12:16"/>
        <d v="2025-10-19T21:05:52"/>
        <d v="2025-10-20T16:30:26"/>
        <d v="2025-10-20T20:04:14"/>
        <d v="2025-10-21T03:51:37"/>
        <d v="2025-10-22T04:11:39"/>
        <d v="2025-10-23T20:06:04"/>
        <d v="2025-10-24T04:42:27"/>
        <d v="2025-10-25T03:39:37"/>
        <d v="2025-10-25T06:12:17"/>
        <d v="2025-10-25T08:34:14"/>
        <d v="2025-10-26T13:11:25"/>
        <d v="2025-10-26T19:07:03"/>
        <d v="2025-10-26T22:17:18"/>
        <d v="2025-10-26T23:47:01"/>
        <d v="2025-10-27T06:28:39"/>
        <d v="2025-10-27T14:00:40"/>
        <d v="2025-10-29T20:24:16"/>
        <d v="2025-11-01T17:32:32"/>
        <d v="2025-11-02T11:13:51"/>
        <d v="2025-11-02T21:54:24"/>
        <d v="2025-11-03T00:35:56"/>
        <d v="2025-11-03T09:13:38"/>
        <d v="2025-11-04T01:25:57"/>
        <d v="2025-11-04T06:43:38"/>
        <d v="2025-11-04T16:08:21"/>
        <d v="2025-11-06T06:54:01"/>
        <d v="2025-11-06T08:45:23"/>
        <d v="2025-11-06T09:54:22"/>
        <d v="2025-11-06T22:30:42"/>
        <d v="2025-11-07T17:06:12"/>
        <d v="2025-11-11T11:13:12"/>
        <d v="2025-11-12T19:31:37"/>
        <d v="2025-11-13T12:03:40"/>
        <d v="2025-11-13T12:56:15"/>
        <d v="2025-11-14T08:15:52"/>
        <d v="2025-11-14T14:35:28"/>
        <d v="2025-11-14T16:07:24"/>
        <d v="2025-11-14T16:54:53"/>
        <d v="2025-11-14T17:57:27"/>
        <d v="2025-11-17T13:20:03"/>
        <d v="2025-11-18T12:54:59"/>
        <d v="2025-11-18T18:55:18"/>
        <d v="2025-11-18T21:43:35"/>
        <d v="2025-11-21T09:02:41"/>
        <d v="2025-11-21T22:31:37"/>
        <d v="2025-11-22T01:08:02"/>
        <d v="2025-11-22T13:05:17"/>
        <d v="2025-11-23T02:04:22"/>
        <d v="2025-11-24T03:59:44"/>
        <d v="2025-11-25T00:45:07"/>
        <d v="2025-11-25T02:22:19"/>
        <d v="2025-11-25T09:10:44"/>
        <d v="2025-11-25T14:23:31"/>
        <d v="2025-11-27T03:09:03"/>
        <d v="2025-11-27T05:28:28"/>
        <d v="2025-11-27T11:45:56"/>
        <d v="2025-11-28T08:19:49"/>
        <d v="2025-11-29T12:09:21"/>
        <d v="2025-11-29T17:31:33"/>
        <d v="2025-11-30T13:08:36"/>
        <d v="2025-11-30T16:34:44"/>
        <d v="2025-12-01T15:47:07"/>
        <d v="2025-12-03T06:28:01"/>
        <d v="2025-12-04T23:14:12"/>
        <d v="2025-12-05T07:23:04"/>
        <d v="2025-12-05T12:31:58"/>
        <d v="2025-12-05T16:58:46"/>
        <d v="2025-12-06T10:10:59"/>
        <d v="2025-12-06T21:06:54"/>
        <d v="2025-12-06T21:31:17"/>
        <d v="2025-12-07T12:40:04"/>
        <d v="2025-12-07T16:16:28"/>
        <d v="2025-12-08T01:51:08"/>
        <d v="2025-12-10T18:48:34"/>
        <d v="2025-12-12T05:04:40"/>
        <d v="2025-12-13T00:22:34"/>
        <d v="2025-12-13T10:57:03"/>
        <d v="2025-12-13T22:36:18"/>
        <d v="2025-12-14T16:21:42"/>
        <d v="2025-12-14T22:17:11"/>
      </sharedItems>
      <fieldGroup par="15"/>
    </cacheField>
    <cacheField name="Check_In" numFmtId="176">
      <sharedItems containsSemiMixedTypes="0" containsNonDate="0" containsDate="1" containsString="0" minDate="2025-01-06T06:56:15" maxDate="2026-01-09T22:17:11"/>
    </cacheField>
    <cacheField name="Check_Out" numFmtId="176">
      <sharedItems containsSemiMixedTypes="0" containsNonDate="0" containsDate="1" containsString="0" minDate="2025-01-09T18:47:41" maxDate="2026-01-11T22:17:11"/>
    </cacheField>
    <cacheField name="Stay_Nights" numFmtId="0">
      <sharedItems containsSemiMixedTypes="0" containsString="0" containsNumber="1" containsInteger="1" minValue="1" maxValue="7"/>
    </cacheField>
    <cacheField name="Room_Type" numFmtId="0">
      <sharedItems count="3">
        <s v="Suite"/>
        <s v="Standard"/>
        <s v="Deluxe"/>
      </sharedItems>
    </cacheField>
    <cacheField name="Customer_Type" numFmtId="0">
      <sharedItems count="2">
        <s v="Returning"/>
        <s v="New"/>
      </sharedItems>
    </cacheField>
    <cacheField name="Booking_Channel" numFmtId="0">
      <sharedItems count="3">
        <s v="Direct"/>
        <s v="Online"/>
        <s v="Travel Agent"/>
      </sharedItems>
    </cacheField>
    <cacheField name="Guests" numFmtId="0">
      <sharedItems containsSemiMixedTypes="0" containsString="0" containsNumber="1" containsInteger="1" minValue="1" maxValue="4" count="4">
        <n v="2"/>
        <n v="1"/>
        <n v="4"/>
        <n v="3"/>
      </sharedItems>
    </cacheField>
    <cacheField name="Room_Rate" numFmtId="0">
      <sharedItems containsSemiMixedTypes="0" containsString="0" containsNumber="1" containsInteger="1" minValue="11000" maxValue="31000"/>
    </cacheField>
    <cacheField name="Room_Revenue" numFmtId="0">
      <sharedItems containsSemiMixedTypes="0" containsString="0" containsNumber="1" containsInteger="1" minValue="11000" maxValue="217000"/>
    </cacheField>
    <cacheField name="Restaurant_Spend" numFmtId="0">
      <sharedItems containsSemiMixedTypes="0" containsString="0" containsNumber="1" containsInteger="1" minValue="0" maxValue="16000"/>
    </cacheField>
    <cacheField name="Total_Revenue" numFmtId="0">
      <sharedItems containsSemiMixedTypes="0" containsString="0" containsNumber="1" containsInteger="1" minValue="11000" maxValue="230500"/>
    </cacheField>
    <cacheField name="City" numFmtId="0">
      <sharedItems/>
    </cacheField>
    <cacheField name="月 (Booking_Date)" numFmtId="0" databaseField="0">
      <fieldGroup base="2">
        <rangePr groupBy="months" startDate="2025-01-01T18:47:41" endDate="2025-12-14T22:17:11"/>
        <groupItems count="14">
          <s v="&lt;2025/1/1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5/12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d v="2025-01-07T18:47:41"/>
    <d v="2025-01-09T18:47:41"/>
    <n v="2"/>
    <x v="0"/>
    <x v="0"/>
    <x v="0"/>
    <x v="0"/>
    <n v="29000"/>
    <n v="58000"/>
    <n v="4000"/>
    <n v="62000"/>
    <s v="Tokyo"/>
  </r>
  <r>
    <x v="1"/>
    <x v="1"/>
    <x v="1"/>
    <d v="2025-01-25T19:37:20"/>
    <d v="2025-01-31T19:37:20"/>
    <n v="6"/>
    <x v="1"/>
    <x v="1"/>
    <x v="0"/>
    <x v="1"/>
    <n v="12000"/>
    <n v="72000"/>
    <n v="2000"/>
    <n v="74000"/>
    <s v="Osaka"/>
  </r>
  <r>
    <x v="2"/>
    <x v="2"/>
    <x v="2"/>
    <d v="2025-01-08T01:36:33"/>
    <d v="2025-01-11T01:36:33"/>
    <n v="3"/>
    <x v="2"/>
    <x v="1"/>
    <x v="1"/>
    <x v="2"/>
    <n v="17000"/>
    <n v="51000"/>
    <n v="7500"/>
    <n v="58500"/>
    <s v="Osaka"/>
  </r>
  <r>
    <x v="3"/>
    <x v="3"/>
    <x v="3"/>
    <d v="2025-01-25T08:47:13"/>
    <d v="2025-01-26T08:47:13"/>
    <n v="1"/>
    <x v="1"/>
    <x v="0"/>
    <x v="1"/>
    <x v="3"/>
    <n v="11000"/>
    <n v="11000"/>
    <n v="500"/>
    <n v="11500"/>
    <s v="Saitama"/>
  </r>
  <r>
    <x v="4"/>
    <x v="4"/>
    <x v="4"/>
    <d v="2025-01-06T06:56:15"/>
    <d v="2025-01-12T06:56:15"/>
    <n v="6"/>
    <x v="1"/>
    <x v="1"/>
    <x v="2"/>
    <x v="1"/>
    <n v="12000"/>
    <n v="72000"/>
    <n v="6500"/>
    <n v="78500"/>
    <s v="Chiba"/>
  </r>
  <r>
    <x v="5"/>
    <x v="5"/>
    <x v="5"/>
    <d v="2025-02-01T18:55:59"/>
    <d v="2025-02-03T18:55:59"/>
    <n v="2"/>
    <x v="0"/>
    <x v="0"/>
    <x v="2"/>
    <x v="1"/>
    <n v="29000"/>
    <n v="58000"/>
    <n v="6500"/>
    <n v="64500"/>
    <s v="Saitama"/>
  </r>
  <r>
    <x v="6"/>
    <x v="6"/>
    <x v="6"/>
    <d v="2025-01-19T21:39:30"/>
    <d v="2025-01-23T21:39:30"/>
    <n v="4"/>
    <x v="2"/>
    <x v="1"/>
    <x v="1"/>
    <x v="3"/>
    <n v="17000"/>
    <n v="68000"/>
    <n v="8500"/>
    <n v="76500"/>
    <s v="Nagoya"/>
  </r>
  <r>
    <x v="7"/>
    <x v="7"/>
    <x v="7"/>
    <d v="2025-01-09T04:32:25"/>
    <d v="2025-01-11T04:32:25"/>
    <n v="2"/>
    <x v="2"/>
    <x v="1"/>
    <x v="1"/>
    <x v="0"/>
    <n v="18000"/>
    <n v="36000"/>
    <n v="5500"/>
    <n v="41500"/>
    <s v="Nagoya"/>
  </r>
  <r>
    <x v="8"/>
    <x v="8"/>
    <x v="8"/>
    <d v="2025-01-23T18:12:42"/>
    <d v="2025-01-24T18:12:42"/>
    <n v="1"/>
    <x v="2"/>
    <x v="1"/>
    <x v="1"/>
    <x v="1"/>
    <n v="18000"/>
    <n v="18000"/>
    <n v="6000"/>
    <n v="24000"/>
    <s v="Tokyo"/>
  </r>
  <r>
    <x v="9"/>
    <x v="9"/>
    <x v="9"/>
    <d v="2025-01-21T03:43:51"/>
    <d v="2025-01-28T03:43:51"/>
    <n v="7"/>
    <x v="2"/>
    <x v="1"/>
    <x v="0"/>
    <x v="2"/>
    <n v="19000"/>
    <n v="133000"/>
    <n v="1500"/>
    <n v="134500"/>
    <s v="Yokohama"/>
  </r>
  <r>
    <x v="10"/>
    <x v="10"/>
    <x v="10"/>
    <d v="2025-01-21T08:50:22"/>
    <d v="2025-01-25T08:50:22"/>
    <n v="4"/>
    <x v="2"/>
    <x v="0"/>
    <x v="1"/>
    <x v="1"/>
    <n v="18000"/>
    <n v="72000"/>
    <n v="6000"/>
    <n v="78000"/>
    <s v="Osaka"/>
  </r>
  <r>
    <x v="11"/>
    <x v="11"/>
    <x v="11"/>
    <d v="2025-01-15T08:33:25"/>
    <d v="2025-01-17T08:33:25"/>
    <n v="2"/>
    <x v="1"/>
    <x v="1"/>
    <x v="0"/>
    <x v="0"/>
    <n v="12000"/>
    <n v="24000"/>
    <n v="4000"/>
    <n v="28000"/>
    <s v="Saitama"/>
  </r>
  <r>
    <x v="12"/>
    <x v="12"/>
    <x v="12"/>
    <d v="2025-02-02T19:38:30"/>
    <d v="2025-02-03T19:38:30"/>
    <n v="1"/>
    <x v="1"/>
    <x v="1"/>
    <x v="1"/>
    <x v="2"/>
    <n v="13000"/>
    <n v="13000"/>
    <n v="9500"/>
    <n v="22500"/>
    <s v="Osaka"/>
  </r>
  <r>
    <x v="13"/>
    <x v="13"/>
    <x v="13"/>
    <d v="2025-01-31T04:34:49"/>
    <d v="2025-02-06T04:34:49"/>
    <n v="6"/>
    <x v="1"/>
    <x v="1"/>
    <x v="1"/>
    <x v="0"/>
    <n v="13000"/>
    <n v="78000"/>
    <n v="8000"/>
    <n v="86000"/>
    <s v="Nagoya"/>
  </r>
  <r>
    <x v="14"/>
    <x v="14"/>
    <x v="14"/>
    <d v="2025-01-23T09:50:00"/>
    <d v="2025-01-28T09:50:00"/>
    <n v="5"/>
    <x v="1"/>
    <x v="1"/>
    <x v="0"/>
    <x v="2"/>
    <n v="13000"/>
    <n v="65000"/>
    <n v="11000"/>
    <n v="76000"/>
    <s v="Yokohama"/>
  </r>
  <r>
    <x v="15"/>
    <x v="15"/>
    <x v="15"/>
    <d v="2025-02-07T09:57:27"/>
    <d v="2025-02-09T09:57:27"/>
    <n v="2"/>
    <x v="1"/>
    <x v="1"/>
    <x v="2"/>
    <x v="3"/>
    <n v="12000"/>
    <n v="24000"/>
    <n v="5000"/>
    <n v="29000"/>
    <s v="Osaka"/>
  </r>
  <r>
    <x v="16"/>
    <x v="16"/>
    <x v="16"/>
    <d v="2025-02-03T01:38:22"/>
    <d v="2025-02-08T01:38:22"/>
    <n v="5"/>
    <x v="2"/>
    <x v="1"/>
    <x v="1"/>
    <x v="1"/>
    <n v="19000"/>
    <n v="95000"/>
    <n v="8000"/>
    <n v="103000"/>
    <s v="Saitama"/>
  </r>
  <r>
    <x v="17"/>
    <x v="17"/>
    <x v="17"/>
    <d v="2025-01-26T03:41:09"/>
    <d v="2025-02-02T03:41:09"/>
    <n v="7"/>
    <x v="2"/>
    <x v="0"/>
    <x v="1"/>
    <x v="0"/>
    <n v="18000"/>
    <n v="126000"/>
    <n v="0"/>
    <n v="126000"/>
    <s v="Tokyo"/>
  </r>
  <r>
    <x v="18"/>
    <x v="18"/>
    <x v="18"/>
    <d v="2025-02-10T21:24:03"/>
    <d v="2025-02-14T21:24:03"/>
    <n v="4"/>
    <x v="0"/>
    <x v="1"/>
    <x v="1"/>
    <x v="0"/>
    <n v="29000"/>
    <n v="116000"/>
    <n v="6000"/>
    <n v="122000"/>
    <s v="Osaka"/>
  </r>
  <r>
    <x v="19"/>
    <x v="19"/>
    <x v="19"/>
    <d v="2025-02-13T03:11:46"/>
    <d v="2025-02-18T03:11:46"/>
    <n v="5"/>
    <x v="2"/>
    <x v="1"/>
    <x v="2"/>
    <x v="3"/>
    <n v="18000"/>
    <n v="90000"/>
    <n v="4000"/>
    <n v="94000"/>
    <s v="Saitama"/>
  </r>
  <r>
    <x v="20"/>
    <x v="20"/>
    <x v="20"/>
    <d v="2025-02-05T13:20:27"/>
    <d v="2025-02-06T13:20:27"/>
    <n v="1"/>
    <x v="1"/>
    <x v="1"/>
    <x v="1"/>
    <x v="1"/>
    <n v="13000"/>
    <n v="13000"/>
    <n v="5500"/>
    <n v="18500"/>
    <s v="Tokyo"/>
  </r>
  <r>
    <x v="21"/>
    <x v="21"/>
    <x v="21"/>
    <d v="2025-01-25T20:08:28"/>
    <d v="2025-01-27T20:08:28"/>
    <n v="2"/>
    <x v="2"/>
    <x v="1"/>
    <x v="0"/>
    <x v="3"/>
    <n v="17000"/>
    <n v="34000"/>
    <n v="4500"/>
    <n v="38500"/>
    <s v="Chiba"/>
  </r>
  <r>
    <x v="22"/>
    <x v="22"/>
    <x v="22"/>
    <d v="2025-02-16T18:07:06"/>
    <d v="2025-02-23T18:07:06"/>
    <n v="7"/>
    <x v="1"/>
    <x v="1"/>
    <x v="1"/>
    <x v="2"/>
    <n v="13000"/>
    <n v="91000"/>
    <n v="3000"/>
    <n v="94000"/>
    <s v="Yokohama"/>
  </r>
  <r>
    <x v="23"/>
    <x v="23"/>
    <x v="23"/>
    <d v="2025-02-06T12:33:16"/>
    <d v="2025-02-07T12:33:16"/>
    <n v="1"/>
    <x v="1"/>
    <x v="1"/>
    <x v="0"/>
    <x v="0"/>
    <n v="13000"/>
    <n v="13000"/>
    <n v="7500"/>
    <n v="20500"/>
    <s v="Tokyo"/>
  </r>
  <r>
    <x v="24"/>
    <x v="24"/>
    <x v="24"/>
    <d v="2025-02-06T12:53:16"/>
    <d v="2025-02-07T12:53:16"/>
    <n v="1"/>
    <x v="1"/>
    <x v="0"/>
    <x v="0"/>
    <x v="3"/>
    <n v="12000"/>
    <n v="12000"/>
    <n v="9500"/>
    <n v="21500"/>
    <s v="Nagoya"/>
  </r>
  <r>
    <x v="25"/>
    <x v="25"/>
    <x v="25"/>
    <d v="2025-02-02T21:05:07"/>
    <d v="2025-02-05T21:05:07"/>
    <n v="3"/>
    <x v="0"/>
    <x v="0"/>
    <x v="0"/>
    <x v="2"/>
    <n v="31000"/>
    <n v="93000"/>
    <n v="2500"/>
    <n v="95500"/>
    <s v="Yokohama"/>
  </r>
  <r>
    <x v="26"/>
    <x v="26"/>
    <x v="26"/>
    <d v="2025-01-22T22:12:36"/>
    <d v="2025-01-24T22:12:36"/>
    <n v="2"/>
    <x v="2"/>
    <x v="1"/>
    <x v="2"/>
    <x v="2"/>
    <n v="19000"/>
    <n v="38000"/>
    <n v="5000"/>
    <n v="43000"/>
    <s v="Tokyo"/>
  </r>
  <r>
    <x v="27"/>
    <x v="2"/>
    <x v="27"/>
    <d v="2025-01-23T22:25:20"/>
    <d v="2025-01-25T22:25:20"/>
    <n v="2"/>
    <x v="1"/>
    <x v="0"/>
    <x v="0"/>
    <x v="2"/>
    <n v="13000"/>
    <n v="26000"/>
    <n v="11000"/>
    <n v="37000"/>
    <s v="Chiba"/>
  </r>
  <r>
    <x v="28"/>
    <x v="27"/>
    <x v="28"/>
    <d v="2025-02-05T09:43:16"/>
    <d v="2025-02-11T09:43:16"/>
    <n v="6"/>
    <x v="1"/>
    <x v="1"/>
    <x v="2"/>
    <x v="1"/>
    <n v="12000"/>
    <n v="72000"/>
    <n v="2000"/>
    <n v="74000"/>
    <s v="Nagoya"/>
  </r>
  <r>
    <x v="29"/>
    <x v="28"/>
    <x v="29"/>
    <d v="2025-02-08T11:16:11"/>
    <d v="2025-02-09T11:16:11"/>
    <n v="1"/>
    <x v="1"/>
    <x v="1"/>
    <x v="2"/>
    <x v="0"/>
    <n v="12000"/>
    <n v="12000"/>
    <n v="5000"/>
    <n v="17000"/>
    <s v="Osaka"/>
  </r>
  <r>
    <x v="30"/>
    <x v="29"/>
    <x v="30"/>
    <d v="2025-02-04T16:23:41"/>
    <d v="2025-02-06T16:23:41"/>
    <n v="2"/>
    <x v="1"/>
    <x v="0"/>
    <x v="0"/>
    <x v="0"/>
    <n v="11000"/>
    <n v="22000"/>
    <n v="10000"/>
    <n v="32000"/>
    <s v="Yokohama"/>
  </r>
  <r>
    <x v="31"/>
    <x v="30"/>
    <x v="31"/>
    <d v="2025-01-30T18:04:50"/>
    <d v="2025-02-03T18:04:50"/>
    <n v="4"/>
    <x v="1"/>
    <x v="1"/>
    <x v="1"/>
    <x v="3"/>
    <n v="11000"/>
    <n v="44000"/>
    <n v="7500"/>
    <n v="51500"/>
    <s v="Saitama"/>
  </r>
  <r>
    <x v="32"/>
    <x v="31"/>
    <x v="32"/>
    <d v="2025-01-31T02:45:05"/>
    <d v="2025-02-01T02:45:05"/>
    <n v="1"/>
    <x v="1"/>
    <x v="0"/>
    <x v="1"/>
    <x v="0"/>
    <n v="12000"/>
    <n v="12000"/>
    <n v="9000"/>
    <n v="21000"/>
    <s v="Yokohama"/>
  </r>
  <r>
    <x v="33"/>
    <x v="32"/>
    <x v="33"/>
    <d v="2025-02-05T18:08:20"/>
    <d v="2025-02-07T18:08:20"/>
    <n v="2"/>
    <x v="1"/>
    <x v="1"/>
    <x v="2"/>
    <x v="1"/>
    <n v="12000"/>
    <n v="24000"/>
    <n v="4000"/>
    <n v="28000"/>
    <s v="Yokohama"/>
  </r>
  <r>
    <x v="34"/>
    <x v="33"/>
    <x v="34"/>
    <d v="2025-02-08T00:43:08"/>
    <d v="2025-02-09T00:43:08"/>
    <n v="1"/>
    <x v="2"/>
    <x v="0"/>
    <x v="1"/>
    <x v="2"/>
    <n v="18000"/>
    <n v="18000"/>
    <n v="3500"/>
    <n v="21500"/>
    <s v="Nagoya"/>
  </r>
  <r>
    <x v="35"/>
    <x v="34"/>
    <x v="35"/>
    <d v="2025-02-24T08:19:20"/>
    <d v="2025-03-03T08:19:20"/>
    <n v="7"/>
    <x v="0"/>
    <x v="0"/>
    <x v="0"/>
    <x v="0"/>
    <n v="30000"/>
    <n v="210000"/>
    <n v="6000"/>
    <n v="216000"/>
    <s v="Yokohama"/>
  </r>
  <r>
    <x v="36"/>
    <x v="35"/>
    <x v="36"/>
    <d v="2025-01-30T19:42:16"/>
    <d v="2025-02-03T19:42:16"/>
    <n v="4"/>
    <x v="1"/>
    <x v="0"/>
    <x v="2"/>
    <x v="0"/>
    <n v="13000"/>
    <n v="52000"/>
    <n v="13500"/>
    <n v="65500"/>
    <s v="Chiba"/>
  </r>
  <r>
    <x v="37"/>
    <x v="36"/>
    <x v="37"/>
    <d v="2025-02-10T11:12:19"/>
    <d v="2025-02-15T11:12:19"/>
    <n v="5"/>
    <x v="1"/>
    <x v="1"/>
    <x v="1"/>
    <x v="2"/>
    <n v="12000"/>
    <n v="60000"/>
    <n v="6000"/>
    <n v="66000"/>
    <s v="Yokohama"/>
  </r>
  <r>
    <x v="38"/>
    <x v="37"/>
    <x v="38"/>
    <d v="2025-02-10T13:45:57"/>
    <d v="2025-02-14T13:45:57"/>
    <n v="4"/>
    <x v="2"/>
    <x v="1"/>
    <x v="2"/>
    <x v="0"/>
    <n v="19000"/>
    <n v="76000"/>
    <n v="8500"/>
    <n v="84500"/>
    <s v="Osaka"/>
  </r>
  <r>
    <x v="39"/>
    <x v="28"/>
    <x v="39"/>
    <d v="2025-02-03T14:54:48"/>
    <d v="2025-02-10T14:54:48"/>
    <n v="7"/>
    <x v="0"/>
    <x v="1"/>
    <x v="1"/>
    <x v="2"/>
    <n v="29000"/>
    <n v="203000"/>
    <n v="7500"/>
    <n v="210500"/>
    <s v="Saitama"/>
  </r>
  <r>
    <x v="40"/>
    <x v="38"/>
    <x v="40"/>
    <d v="2025-02-10T09:35:52"/>
    <d v="2025-02-17T09:35:52"/>
    <n v="7"/>
    <x v="1"/>
    <x v="0"/>
    <x v="2"/>
    <x v="0"/>
    <n v="11000"/>
    <n v="77000"/>
    <n v="8500"/>
    <n v="85500"/>
    <s v="Osaka"/>
  </r>
  <r>
    <x v="41"/>
    <x v="39"/>
    <x v="41"/>
    <d v="2025-02-12T05:55:54"/>
    <d v="2025-02-18T05:55:54"/>
    <n v="6"/>
    <x v="1"/>
    <x v="1"/>
    <x v="1"/>
    <x v="2"/>
    <n v="13000"/>
    <n v="78000"/>
    <n v="7500"/>
    <n v="85500"/>
    <s v="Tokyo"/>
  </r>
  <r>
    <x v="42"/>
    <x v="40"/>
    <x v="42"/>
    <d v="2025-02-18T01:31:20"/>
    <d v="2025-02-20T01:31:20"/>
    <n v="2"/>
    <x v="2"/>
    <x v="1"/>
    <x v="2"/>
    <x v="3"/>
    <n v="17000"/>
    <n v="34000"/>
    <n v="14500"/>
    <n v="48500"/>
    <s v="Nagoya"/>
  </r>
  <r>
    <x v="43"/>
    <x v="41"/>
    <x v="43"/>
    <d v="2025-02-27T13:25:28"/>
    <d v="2025-03-05T13:25:28"/>
    <n v="6"/>
    <x v="2"/>
    <x v="1"/>
    <x v="1"/>
    <x v="2"/>
    <n v="17000"/>
    <n v="102000"/>
    <n v="12000"/>
    <n v="114000"/>
    <s v="Yokohama"/>
  </r>
  <r>
    <x v="44"/>
    <x v="42"/>
    <x v="44"/>
    <d v="2025-02-05T15:46:30"/>
    <d v="2025-02-07T15:46:30"/>
    <n v="2"/>
    <x v="2"/>
    <x v="1"/>
    <x v="0"/>
    <x v="2"/>
    <n v="19000"/>
    <n v="38000"/>
    <n v="12000"/>
    <n v="50000"/>
    <s v="Saitama"/>
  </r>
  <r>
    <x v="45"/>
    <x v="43"/>
    <x v="45"/>
    <d v="2025-02-12T18:29:31"/>
    <d v="2025-02-14T18:29:31"/>
    <n v="2"/>
    <x v="1"/>
    <x v="1"/>
    <x v="0"/>
    <x v="0"/>
    <n v="12000"/>
    <n v="24000"/>
    <n v="500"/>
    <n v="24500"/>
    <s v="Saitama"/>
  </r>
  <r>
    <x v="46"/>
    <x v="39"/>
    <x v="46"/>
    <d v="2025-02-28T21:04:27"/>
    <d v="2025-03-06T21:04:27"/>
    <n v="6"/>
    <x v="2"/>
    <x v="1"/>
    <x v="1"/>
    <x v="0"/>
    <n v="17000"/>
    <n v="102000"/>
    <n v="5000"/>
    <n v="107000"/>
    <s v="Nagoya"/>
  </r>
  <r>
    <x v="47"/>
    <x v="44"/>
    <x v="47"/>
    <d v="2025-02-07T03:34:36"/>
    <d v="2025-02-08T03:34:36"/>
    <n v="1"/>
    <x v="0"/>
    <x v="1"/>
    <x v="2"/>
    <x v="3"/>
    <n v="29000"/>
    <n v="29000"/>
    <n v="5500"/>
    <n v="34500"/>
    <s v="Nagoya"/>
  </r>
  <r>
    <x v="48"/>
    <x v="45"/>
    <x v="48"/>
    <d v="2025-02-19T23:40:42"/>
    <d v="2025-02-21T23:40:42"/>
    <n v="2"/>
    <x v="1"/>
    <x v="1"/>
    <x v="1"/>
    <x v="2"/>
    <n v="13000"/>
    <n v="26000"/>
    <n v="0"/>
    <n v="26000"/>
    <s v="Yokohama"/>
  </r>
  <r>
    <x v="49"/>
    <x v="46"/>
    <x v="49"/>
    <d v="2025-02-15T08:00:22"/>
    <d v="2025-02-18T08:00:22"/>
    <n v="3"/>
    <x v="1"/>
    <x v="1"/>
    <x v="2"/>
    <x v="3"/>
    <n v="11000"/>
    <n v="33000"/>
    <n v="6500"/>
    <n v="39500"/>
    <s v="Tokyo"/>
  </r>
  <r>
    <x v="50"/>
    <x v="47"/>
    <x v="50"/>
    <d v="2025-03-01T10:44:02"/>
    <d v="2025-03-04T10:44:02"/>
    <n v="3"/>
    <x v="1"/>
    <x v="0"/>
    <x v="1"/>
    <x v="2"/>
    <n v="12000"/>
    <n v="36000"/>
    <n v="5500"/>
    <n v="41500"/>
    <s v="Tokyo"/>
  </r>
  <r>
    <x v="51"/>
    <x v="45"/>
    <x v="51"/>
    <d v="2025-02-19T14:24:35"/>
    <d v="2025-02-20T14:24:35"/>
    <n v="1"/>
    <x v="1"/>
    <x v="0"/>
    <x v="2"/>
    <x v="2"/>
    <n v="12000"/>
    <n v="12000"/>
    <n v="7500"/>
    <n v="19500"/>
    <s v="Tokyo"/>
  </r>
  <r>
    <x v="52"/>
    <x v="48"/>
    <x v="52"/>
    <d v="2025-02-12T04:09:14"/>
    <d v="2025-02-17T04:09:14"/>
    <n v="5"/>
    <x v="1"/>
    <x v="1"/>
    <x v="2"/>
    <x v="0"/>
    <n v="11000"/>
    <n v="55000"/>
    <n v="5000"/>
    <n v="60000"/>
    <s v="Chiba"/>
  </r>
  <r>
    <x v="53"/>
    <x v="49"/>
    <x v="53"/>
    <d v="2025-03-02T23:52:20"/>
    <d v="2025-03-05T23:52:20"/>
    <n v="3"/>
    <x v="2"/>
    <x v="1"/>
    <x v="0"/>
    <x v="3"/>
    <n v="17000"/>
    <n v="51000"/>
    <n v="6500"/>
    <n v="57500"/>
    <s v="Saitama"/>
  </r>
  <r>
    <x v="54"/>
    <x v="50"/>
    <x v="54"/>
    <d v="2025-02-09T15:08:18"/>
    <d v="2025-02-13T15:08:18"/>
    <n v="4"/>
    <x v="2"/>
    <x v="1"/>
    <x v="2"/>
    <x v="3"/>
    <n v="17000"/>
    <n v="68000"/>
    <n v="4000"/>
    <n v="72000"/>
    <s v="Nagoya"/>
  </r>
  <r>
    <x v="55"/>
    <x v="51"/>
    <x v="55"/>
    <d v="2025-02-17T18:55:08"/>
    <d v="2025-02-20T18:55:08"/>
    <n v="3"/>
    <x v="1"/>
    <x v="1"/>
    <x v="2"/>
    <x v="0"/>
    <n v="13000"/>
    <n v="39000"/>
    <n v="7000"/>
    <n v="46000"/>
    <s v="Osaka"/>
  </r>
  <r>
    <x v="56"/>
    <x v="52"/>
    <x v="56"/>
    <d v="2025-02-27T08:44:52"/>
    <d v="2025-03-02T08:44:52"/>
    <n v="3"/>
    <x v="1"/>
    <x v="1"/>
    <x v="0"/>
    <x v="0"/>
    <n v="11000"/>
    <n v="33000"/>
    <n v="10000"/>
    <n v="43000"/>
    <s v="Saitama"/>
  </r>
  <r>
    <x v="57"/>
    <x v="53"/>
    <x v="57"/>
    <d v="2025-02-09T09:59:04"/>
    <d v="2025-02-12T09:59:04"/>
    <n v="3"/>
    <x v="1"/>
    <x v="1"/>
    <x v="0"/>
    <x v="3"/>
    <n v="13000"/>
    <n v="39000"/>
    <n v="1000"/>
    <n v="40000"/>
    <s v="Saitama"/>
  </r>
  <r>
    <x v="58"/>
    <x v="54"/>
    <x v="58"/>
    <d v="2025-03-10T15:20:42"/>
    <d v="2025-03-15T15:20:42"/>
    <n v="5"/>
    <x v="1"/>
    <x v="0"/>
    <x v="0"/>
    <x v="3"/>
    <n v="13000"/>
    <n v="65000"/>
    <n v="7000"/>
    <n v="72000"/>
    <s v="Nagoya"/>
  </r>
  <r>
    <x v="59"/>
    <x v="55"/>
    <x v="59"/>
    <d v="2025-03-06T00:02:00"/>
    <d v="2025-03-10T00:02:00"/>
    <n v="4"/>
    <x v="1"/>
    <x v="0"/>
    <x v="0"/>
    <x v="0"/>
    <n v="12000"/>
    <n v="48000"/>
    <n v="7000"/>
    <n v="55000"/>
    <s v="Yokohama"/>
  </r>
  <r>
    <x v="60"/>
    <x v="56"/>
    <x v="60"/>
    <d v="2025-02-14T15:57:45"/>
    <d v="2025-02-17T15:57:45"/>
    <n v="3"/>
    <x v="0"/>
    <x v="1"/>
    <x v="1"/>
    <x v="0"/>
    <n v="29000"/>
    <n v="87000"/>
    <n v="7000"/>
    <n v="94000"/>
    <s v="Chiba"/>
  </r>
  <r>
    <x v="61"/>
    <x v="40"/>
    <x v="61"/>
    <d v="2025-03-06T22:10:54"/>
    <d v="2025-03-13T22:10:54"/>
    <n v="7"/>
    <x v="2"/>
    <x v="0"/>
    <x v="1"/>
    <x v="0"/>
    <n v="18000"/>
    <n v="126000"/>
    <n v="8000"/>
    <n v="134000"/>
    <s v="Nagoya"/>
  </r>
  <r>
    <x v="62"/>
    <x v="57"/>
    <x v="62"/>
    <d v="2025-02-20T07:13:16"/>
    <d v="2025-02-26T07:13:16"/>
    <n v="6"/>
    <x v="2"/>
    <x v="1"/>
    <x v="1"/>
    <x v="3"/>
    <n v="17000"/>
    <n v="102000"/>
    <n v="4000"/>
    <n v="106000"/>
    <s v="Tokyo"/>
  </r>
  <r>
    <x v="63"/>
    <x v="58"/>
    <x v="63"/>
    <d v="2025-02-14T13:17:04"/>
    <d v="2025-02-21T13:17:04"/>
    <n v="7"/>
    <x v="1"/>
    <x v="1"/>
    <x v="1"/>
    <x v="3"/>
    <n v="12000"/>
    <n v="84000"/>
    <n v="13500"/>
    <n v="97500"/>
    <s v="Yokohama"/>
  </r>
  <r>
    <x v="64"/>
    <x v="59"/>
    <x v="64"/>
    <d v="2025-02-23T16:00:11"/>
    <d v="2025-03-01T16:00:11"/>
    <n v="6"/>
    <x v="0"/>
    <x v="1"/>
    <x v="1"/>
    <x v="0"/>
    <n v="29000"/>
    <n v="174000"/>
    <n v="8000"/>
    <n v="182000"/>
    <s v="Saitama"/>
  </r>
  <r>
    <x v="65"/>
    <x v="60"/>
    <x v="65"/>
    <d v="2025-03-09T20:19:00"/>
    <d v="2025-03-11T20:19:00"/>
    <n v="2"/>
    <x v="2"/>
    <x v="0"/>
    <x v="1"/>
    <x v="2"/>
    <n v="19000"/>
    <n v="38000"/>
    <n v="5000"/>
    <n v="43000"/>
    <s v="Osaka"/>
  </r>
  <r>
    <x v="66"/>
    <x v="61"/>
    <x v="66"/>
    <d v="2025-03-16T06:55:42"/>
    <d v="2025-03-17T06:55:42"/>
    <n v="1"/>
    <x v="1"/>
    <x v="1"/>
    <x v="2"/>
    <x v="0"/>
    <n v="12000"/>
    <n v="12000"/>
    <n v="9500"/>
    <n v="21500"/>
    <s v="Tokyo"/>
  </r>
  <r>
    <x v="67"/>
    <x v="62"/>
    <x v="67"/>
    <d v="2025-03-07T00:47:46"/>
    <d v="2025-03-12T00:47:46"/>
    <n v="5"/>
    <x v="2"/>
    <x v="1"/>
    <x v="1"/>
    <x v="1"/>
    <n v="19000"/>
    <n v="95000"/>
    <n v="2000"/>
    <n v="97000"/>
    <s v="Osaka"/>
  </r>
  <r>
    <x v="68"/>
    <x v="63"/>
    <x v="68"/>
    <d v="2025-03-16T18:21:19"/>
    <d v="2025-03-17T18:21:19"/>
    <n v="1"/>
    <x v="2"/>
    <x v="1"/>
    <x v="1"/>
    <x v="0"/>
    <n v="19000"/>
    <n v="19000"/>
    <n v="1500"/>
    <n v="20500"/>
    <s v="Yokohama"/>
  </r>
  <r>
    <x v="69"/>
    <x v="64"/>
    <x v="69"/>
    <d v="2025-02-20T11:04:33"/>
    <d v="2025-02-25T11:04:33"/>
    <n v="5"/>
    <x v="1"/>
    <x v="1"/>
    <x v="2"/>
    <x v="3"/>
    <n v="13000"/>
    <n v="65000"/>
    <n v="5000"/>
    <n v="70000"/>
    <s v="Saitama"/>
  </r>
  <r>
    <x v="70"/>
    <x v="65"/>
    <x v="70"/>
    <d v="2025-02-22T05:21:40"/>
    <d v="2025-02-23T05:21:40"/>
    <n v="1"/>
    <x v="2"/>
    <x v="0"/>
    <x v="1"/>
    <x v="1"/>
    <n v="18000"/>
    <n v="18000"/>
    <n v="6000"/>
    <n v="24000"/>
    <s v="Osaka"/>
  </r>
  <r>
    <x v="71"/>
    <x v="66"/>
    <x v="71"/>
    <d v="2025-03-08T13:59:31"/>
    <d v="2025-03-11T13:59:31"/>
    <n v="3"/>
    <x v="1"/>
    <x v="0"/>
    <x v="1"/>
    <x v="0"/>
    <n v="12000"/>
    <n v="36000"/>
    <n v="8500"/>
    <n v="44500"/>
    <s v="Saitama"/>
  </r>
  <r>
    <x v="72"/>
    <x v="67"/>
    <x v="72"/>
    <d v="2025-03-03T07:09:20"/>
    <d v="2025-03-08T07:09:20"/>
    <n v="5"/>
    <x v="2"/>
    <x v="1"/>
    <x v="0"/>
    <x v="1"/>
    <n v="17000"/>
    <n v="85000"/>
    <n v="5000"/>
    <n v="90000"/>
    <s v="Osaka"/>
  </r>
  <r>
    <x v="73"/>
    <x v="43"/>
    <x v="73"/>
    <d v="2025-03-02T00:30:49"/>
    <d v="2025-03-04T00:30:49"/>
    <n v="2"/>
    <x v="2"/>
    <x v="1"/>
    <x v="0"/>
    <x v="0"/>
    <n v="18000"/>
    <n v="36000"/>
    <n v="3000"/>
    <n v="39000"/>
    <s v="Saitama"/>
  </r>
  <r>
    <x v="74"/>
    <x v="29"/>
    <x v="74"/>
    <d v="2025-02-24T05:30:19"/>
    <d v="2025-03-02T05:30:19"/>
    <n v="6"/>
    <x v="1"/>
    <x v="1"/>
    <x v="0"/>
    <x v="2"/>
    <n v="11000"/>
    <n v="66000"/>
    <n v="5000"/>
    <n v="71000"/>
    <s v="Saitama"/>
  </r>
  <r>
    <x v="75"/>
    <x v="68"/>
    <x v="75"/>
    <d v="2025-03-08T15:50:18"/>
    <d v="2025-03-15T15:50:18"/>
    <n v="7"/>
    <x v="1"/>
    <x v="1"/>
    <x v="0"/>
    <x v="0"/>
    <n v="12000"/>
    <n v="84000"/>
    <n v="2500"/>
    <n v="86500"/>
    <s v="Chiba"/>
  </r>
  <r>
    <x v="76"/>
    <x v="69"/>
    <x v="76"/>
    <d v="2025-03-08T16:19:10"/>
    <d v="2025-03-15T16:19:10"/>
    <n v="7"/>
    <x v="1"/>
    <x v="1"/>
    <x v="2"/>
    <x v="0"/>
    <n v="13000"/>
    <n v="91000"/>
    <n v="10000"/>
    <n v="101000"/>
    <s v="Nagoya"/>
  </r>
  <r>
    <x v="77"/>
    <x v="70"/>
    <x v="77"/>
    <d v="2025-03-16T23:43:58"/>
    <d v="2025-03-17T23:43:58"/>
    <n v="1"/>
    <x v="2"/>
    <x v="1"/>
    <x v="2"/>
    <x v="3"/>
    <n v="18000"/>
    <n v="18000"/>
    <n v="5000"/>
    <n v="23000"/>
    <s v="Saitama"/>
  </r>
  <r>
    <x v="78"/>
    <x v="71"/>
    <x v="78"/>
    <d v="2025-03-02T00:14:41"/>
    <d v="2025-03-09T00:14:41"/>
    <n v="7"/>
    <x v="0"/>
    <x v="1"/>
    <x v="2"/>
    <x v="0"/>
    <n v="29000"/>
    <n v="203000"/>
    <n v="7000"/>
    <n v="210000"/>
    <s v="Saitama"/>
  </r>
  <r>
    <x v="79"/>
    <x v="72"/>
    <x v="79"/>
    <d v="2025-03-15T01:18:17"/>
    <d v="2025-03-16T01:18:17"/>
    <n v="1"/>
    <x v="1"/>
    <x v="1"/>
    <x v="2"/>
    <x v="1"/>
    <n v="12000"/>
    <n v="12000"/>
    <n v="11500"/>
    <n v="23500"/>
    <s v="Saitama"/>
  </r>
  <r>
    <x v="80"/>
    <x v="73"/>
    <x v="80"/>
    <d v="2025-03-25T04:21:17"/>
    <d v="2025-03-28T04:21:17"/>
    <n v="3"/>
    <x v="0"/>
    <x v="1"/>
    <x v="0"/>
    <x v="1"/>
    <n v="31000"/>
    <n v="93000"/>
    <n v="5000"/>
    <n v="98000"/>
    <s v="Osaka"/>
  </r>
  <r>
    <x v="81"/>
    <x v="49"/>
    <x v="81"/>
    <d v="2025-03-20T21:48:13"/>
    <d v="2025-03-27T21:48:13"/>
    <n v="7"/>
    <x v="2"/>
    <x v="1"/>
    <x v="2"/>
    <x v="0"/>
    <n v="17000"/>
    <n v="119000"/>
    <n v="10500"/>
    <n v="129500"/>
    <s v="Tokyo"/>
  </r>
  <r>
    <x v="82"/>
    <x v="74"/>
    <x v="82"/>
    <d v="2025-03-20T12:37:55"/>
    <d v="2025-03-24T12:37:55"/>
    <n v="4"/>
    <x v="2"/>
    <x v="0"/>
    <x v="0"/>
    <x v="0"/>
    <n v="18000"/>
    <n v="72000"/>
    <n v="8000"/>
    <n v="80000"/>
    <s v="Osaka"/>
  </r>
  <r>
    <x v="83"/>
    <x v="75"/>
    <x v="83"/>
    <d v="2025-03-15T08:34:43"/>
    <d v="2025-03-18T08:34:43"/>
    <n v="3"/>
    <x v="2"/>
    <x v="1"/>
    <x v="0"/>
    <x v="1"/>
    <n v="19000"/>
    <n v="57000"/>
    <n v="9500"/>
    <n v="66500"/>
    <s v="Nagoya"/>
  </r>
  <r>
    <x v="84"/>
    <x v="72"/>
    <x v="84"/>
    <d v="2025-02-28T22:32:57"/>
    <d v="2025-03-04T22:32:57"/>
    <n v="4"/>
    <x v="1"/>
    <x v="0"/>
    <x v="1"/>
    <x v="3"/>
    <n v="13000"/>
    <n v="52000"/>
    <n v="5500"/>
    <n v="57500"/>
    <s v="Chiba"/>
  </r>
  <r>
    <x v="85"/>
    <x v="76"/>
    <x v="85"/>
    <d v="2025-03-24T02:44:47"/>
    <d v="2025-03-30T02:44:47"/>
    <n v="6"/>
    <x v="2"/>
    <x v="1"/>
    <x v="0"/>
    <x v="2"/>
    <n v="18000"/>
    <n v="108000"/>
    <n v="2500"/>
    <n v="110500"/>
    <s v="Yokohama"/>
  </r>
  <r>
    <x v="86"/>
    <x v="77"/>
    <x v="86"/>
    <d v="2025-03-24T06:51:39"/>
    <d v="2025-03-29T06:51:39"/>
    <n v="5"/>
    <x v="1"/>
    <x v="0"/>
    <x v="1"/>
    <x v="1"/>
    <n v="13000"/>
    <n v="65000"/>
    <n v="5000"/>
    <n v="70000"/>
    <s v="Tokyo"/>
  </r>
  <r>
    <x v="87"/>
    <x v="78"/>
    <x v="87"/>
    <d v="2025-02-28T16:34:05"/>
    <d v="2025-03-06T16:34:05"/>
    <n v="6"/>
    <x v="1"/>
    <x v="1"/>
    <x v="0"/>
    <x v="2"/>
    <n v="12000"/>
    <n v="72000"/>
    <n v="9500"/>
    <n v="81500"/>
    <s v="Yokohama"/>
  </r>
  <r>
    <x v="88"/>
    <x v="79"/>
    <x v="88"/>
    <d v="2025-03-06T21:10:45"/>
    <d v="2025-03-07T21:10:45"/>
    <n v="1"/>
    <x v="2"/>
    <x v="1"/>
    <x v="1"/>
    <x v="2"/>
    <n v="18000"/>
    <n v="18000"/>
    <n v="6500"/>
    <n v="24500"/>
    <s v="Tokyo"/>
  </r>
  <r>
    <x v="89"/>
    <x v="50"/>
    <x v="89"/>
    <d v="2025-03-05T20:09:29"/>
    <d v="2025-03-08T20:09:29"/>
    <n v="3"/>
    <x v="2"/>
    <x v="1"/>
    <x v="1"/>
    <x v="0"/>
    <n v="18000"/>
    <n v="54000"/>
    <n v="7500"/>
    <n v="61500"/>
    <s v="Osaka"/>
  </r>
  <r>
    <x v="90"/>
    <x v="80"/>
    <x v="90"/>
    <d v="2025-03-17T02:29:23"/>
    <d v="2025-03-19T02:29:23"/>
    <n v="2"/>
    <x v="1"/>
    <x v="1"/>
    <x v="2"/>
    <x v="1"/>
    <n v="11000"/>
    <n v="22000"/>
    <n v="6500"/>
    <n v="28500"/>
    <s v="Nagoya"/>
  </r>
  <r>
    <x v="91"/>
    <x v="56"/>
    <x v="91"/>
    <d v="2025-03-04T05:55:22"/>
    <d v="2025-03-07T05:55:22"/>
    <n v="3"/>
    <x v="2"/>
    <x v="1"/>
    <x v="0"/>
    <x v="0"/>
    <n v="19000"/>
    <n v="57000"/>
    <n v="4000"/>
    <n v="61000"/>
    <s v="Nagoya"/>
  </r>
  <r>
    <x v="92"/>
    <x v="81"/>
    <x v="92"/>
    <d v="2025-03-22T18:54:39"/>
    <d v="2025-03-23T18:54:39"/>
    <n v="1"/>
    <x v="1"/>
    <x v="1"/>
    <x v="2"/>
    <x v="0"/>
    <n v="13000"/>
    <n v="13000"/>
    <n v="7500"/>
    <n v="20500"/>
    <s v="Chiba"/>
  </r>
  <r>
    <x v="93"/>
    <x v="82"/>
    <x v="93"/>
    <d v="2025-03-28T14:46:36"/>
    <d v="2025-04-01T14:46:36"/>
    <n v="4"/>
    <x v="1"/>
    <x v="0"/>
    <x v="0"/>
    <x v="0"/>
    <n v="12000"/>
    <n v="48000"/>
    <n v="5500"/>
    <n v="53500"/>
    <s v="Tokyo"/>
  </r>
  <r>
    <x v="94"/>
    <x v="83"/>
    <x v="94"/>
    <d v="2025-03-14T09:28:29"/>
    <d v="2025-03-18T09:28:29"/>
    <n v="4"/>
    <x v="1"/>
    <x v="1"/>
    <x v="1"/>
    <x v="0"/>
    <n v="11000"/>
    <n v="44000"/>
    <n v="7500"/>
    <n v="51500"/>
    <s v="Chiba"/>
  </r>
  <r>
    <x v="95"/>
    <x v="84"/>
    <x v="95"/>
    <d v="2025-04-01T17:17:40"/>
    <d v="2025-04-03T17:17:40"/>
    <n v="2"/>
    <x v="0"/>
    <x v="0"/>
    <x v="1"/>
    <x v="0"/>
    <n v="31000"/>
    <n v="62000"/>
    <n v="5000"/>
    <n v="67000"/>
    <s v="Yokohama"/>
  </r>
  <r>
    <x v="96"/>
    <x v="85"/>
    <x v="96"/>
    <d v="2025-03-09T14:44:21"/>
    <d v="2025-03-14T14:44:21"/>
    <n v="5"/>
    <x v="0"/>
    <x v="1"/>
    <x v="1"/>
    <x v="0"/>
    <n v="31000"/>
    <n v="155000"/>
    <n v="7000"/>
    <n v="162000"/>
    <s v="Osaka"/>
  </r>
  <r>
    <x v="97"/>
    <x v="86"/>
    <x v="97"/>
    <d v="2025-03-07T03:29:30"/>
    <d v="2025-03-08T03:29:30"/>
    <n v="1"/>
    <x v="1"/>
    <x v="1"/>
    <x v="1"/>
    <x v="3"/>
    <n v="11000"/>
    <n v="11000"/>
    <n v="0"/>
    <n v="11000"/>
    <s v="Yokohama"/>
  </r>
  <r>
    <x v="98"/>
    <x v="87"/>
    <x v="98"/>
    <d v="2025-03-10T05:26:50"/>
    <d v="2025-03-17T05:26:50"/>
    <n v="7"/>
    <x v="0"/>
    <x v="1"/>
    <x v="0"/>
    <x v="1"/>
    <n v="30000"/>
    <n v="210000"/>
    <n v="8500"/>
    <n v="218500"/>
    <s v="Chiba"/>
  </r>
  <r>
    <x v="99"/>
    <x v="19"/>
    <x v="99"/>
    <d v="2025-03-31T08:09:16"/>
    <d v="2025-04-03T08:09:16"/>
    <n v="3"/>
    <x v="2"/>
    <x v="0"/>
    <x v="2"/>
    <x v="3"/>
    <n v="17000"/>
    <n v="51000"/>
    <n v="9500"/>
    <n v="60500"/>
    <s v="Osaka"/>
  </r>
  <r>
    <x v="100"/>
    <x v="88"/>
    <x v="100"/>
    <d v="2025-03-28T09:01:07"/>
    <d v="2025-04-01T09:01:07"/>
    <n v="4"/>
    <x v="1"/>
    <x v="1"/>
    <x v="2"/>
    <x v="3"/>
    <n v="11000"/>
    <n v="44000"/>
    <n v="8000"/>
    <n v="52000"/>
    <s v="Tokyo"/>
  </r>
  <r>
    <x v="101"/>
    <x v="89"/>
    <x v="101"/>
    <d v="2025-04-01T11:53:16"/>
    <d v="2025-04-02T11:53:16"/>
    <n v="1"/>
    <x v="0"/>
    <x v="1"/>
    <x v="2"/>
    <x v="2"/>
    <n v="31000"/>
    <n v="31000"/>
    <n v="9000"/>
    <n v="40000"/>
    <s v="Osaka"/>
  </r>
  <r>
    <x v="102"/>
    <x v="90"/>
    <x v="102"/>
    <d v="2025-03-17T05:53:21"/>
    <d v="2025-03-19T05:53:21"/>
    <n v="2"/>
    <x v="1"/>
    <x v="1"/>
    <x v="1"/>
    <x v="0"/>
    <n v="13000"/>
    <n v="26000"/>
    <n v="3500"/>
    <n v="29500"/>
    <s v="Saitama"/>
  </r>
  <r>
    <x v="103"/>
    <x v="90"/>
    <x v="103"/>
    <d v="2025-03-21T12:29:32"/>
    <d v="2025-03-24T12:29:32"/>
    <n v="3"/>
    <x v="1"/>
    <x v="1"/>
    <x v="1"/>
    <x v="0"/>
    <n v="11000"/>
    <n v="33000"/>
    <n v="7500"/>
    <n v="40500"/>
    <s v="Nagoya"/>
  </r>
  <r>
    <x v="104"/>
    <x v="91"/>
    <x v="104"/>
    <d v="2025-03-25T04:54:26"/>
    <d v="2025-03-28T04:54:26"/>
    <n v="3"/>
    <x v="2"/>
    <x v="0"/>
    <x v="0"/>
    <x v="0"/>
    <n v="19000"/>
    <n v="57000"/>
    <n v="7000"/>
    <n v="64000"/>
    <s v="Yokohama"/>
  </r>
  <r>
    <x v="105"/>
    <x v="84"/>
    <x v="105"/>
    <d v="2025-04-03T23:12:34"/>
    <d v="2025-04-05T23:12:34"/>
    <n v="2"/>
    <x v="1"/>
    <x v="1"/>
    <x v="1"/>
    <x v="2"/>
    <n v="13000"/>
    <n v="26000"/>
    <n v="1000"/>
    <n v="27000"/>
    <s v="Nagoya"/>
  </r>
  <r>
    <x v="106"/>
    <x v="92"/>
    <x v="106"/>
    <d v="2025-03-13T01:31:46"/>
    <d v="2025-03-20T01:31:46"/>
    <n v="7"/>
    <x v="2"/>
    <x v="0"/>
    <x v="0"/>
    <x v="0"/>
    <n v="19000"/>
    <n v="133000"/>
    <n v="5500"/>
    <n v="138500"/>
    <s v="Osaka"/>
  </r>
  <r>
    <x v="107"/>
    <x v="93"/>
    <x v="107"/>
    <d v="2025-03-16T04:08:23"/>
    <d v="2025-03-23T04:08:23"/>
    <n v="7"/>
    <x v="2"/>
    <x v="0"/>
    <x v="1"/>
    <x v="3"/>
    <n v="19000"/>
    <n v="133000"/>
    <n v="4500"/>
    <n v="137500"/>
    <s v="Osaka"/>
  </r>
  <r>
    <x v="108"/>
    <x v="85"/>
    <x v="108"/>
    <d v="2025-04-08T09:25:50"/>
    <d v="2025-04-11T09:25:50"/>
    <n v="3"/>
    <x v="2"/>
    <x v="1"/>
    <x v="1"/>
    <x v="0"/>
    <n v="18000"/>
    <n v="54000"/>
    <n v="9000"/>
    <n v="63000"/>
    <s v="Yokohama"/>
  </r>
  <r>
    <x v="109"/>
    <x v="67"/>
    <x v="109"/>
    <d v="2025-03-17T19:41:40"/>
    <d v="2025-03-20T19:41:40"/>
    <n v="3"/>
    <x v="0"/>
    <x v="1"/>
    <x v="0"/>
    <x v="2"/>
    <n v="29000"/>
    <n v="87000"/>
    <n v="12500"/>
    <n v="99500"/>
    <s v="Tokyo"/>
  </r>
  <r>
    <x v="110"/>
    <x v="94"/>
    <x v="110"/>
    <d v="2025-03-19T16:53:20"/>
    <d v="2025-03-20T16:53:20"/>
    <n v="1"/>
    <x v="0"/>
    <x v="0"/>
    <x v="0"/>
    <x v="0"/>
    <n v="30000"/>
    <n v="30000"/>
    <n v="3000"/>
    <n v="33000"/>
    <s v="Osaka"/>
  </r>
  <r>
    <x v="111"/>
    <x v="13"/>
    <x v="111"/>
    <d v="2025-03-18T18:24:06"/>
    <d v="2025-03-20T18:24:06"/>
    <n v="2"/>
    <x v="1"/>
    <x v="0"/>
    <x v="1"/>
    <x v="0"/>
    <n v="12000"/>
    <n v="24000"/>
    <n v="6500"/>
    <n v="30500"/>
    <s v="Tokyo"/>
  </r>
  <r>
    <x v="112"/>
    <x v="3"/>
    <x v="112"/>
    <d v="2025-04-06T17:51:28"/>
    <d v="2025-04-11T17:51:28"/>
    <n v="5"/>
    <x v="1"/>
    <x v="1"/>
    <x v="2"/>
    <x v="1"/>
    <n v="13000"/>
    <n v="65000"/>
    <n v="5000"/>
    <n v="70000"/>
    <s v="Saitama"/>
  </r>
  <r>
    <x v="113"/>
    <x v="95"/>
    <x v="113"/>
    <d v="2025-03-22T19:55:18"/>
    <d v="2025-03-29T19:55:18"/>
    <n v="7"/>
    <x v="2"/>
    <x v="1"/>
    <x v="1"/>
    <x v="0"/>
    <n v="19000"/>
    <n v="133000"/>
    <n v="7500"/>
    <n v="140500"/>
    <s v="Osaka"/>
  </r>
  <r>
    <x v="114"/>
    <x v="96"/>
    <x v="114"/>
    <d v="2025-03-16T11:29:24"/>
    <d v="2025-03-21T11:29:24"/>
    <n v="5"/>
    <x v="1"/>
    <x v="0"/>
    <x v="2"/>
    <x v="3"/>
    <n v="13000"/>
    <n v="65000"/>
    <n v="9500"/>
    <n v="74500"/>
    <s v="Chiba"/>
  </r>
  <r>
    <x v="115"/>
    <x v="97"/>
    <x v="115"/>
    <d v="2025-03-29T06:00:32"/>
    <d v="2025-04-03T06:00:32"/>
    <n v="5"/>
    <x v="0"/>
    <x v="0"/>
    <x v="0"/>
    <x v="0"/>
    <n v="29000"/>
    <n v="145000"/>
    <n v="11000"/>
    <n v="156000"/>
    <s v="Osaka"/>
  </r>
  <r>
    <x v="116"/>
    <x v="74"/>
    <x v="116"/>
    <d v="2025-04-11T19:19:06"/>
    <d v="2025-04-13T19:19:06"/>
    <n v="2"/>
    <x v="1"/>
    <x v="1"/>
    <x v="0"/>
    <x v="0"/>
    <n v="11000"/>
    <n v="22000"/>
    <n v="1000"/>
    <n v="23000"/>
    <s v="Saitama"/>
  </r>
  <r>
    <x v="117"/>
    <x v="97"/>
    <x v="117"/>
    <d v="2025-04-12T22:18:25"/>
    <d v="2025-04-13T22:18:25"/>
    <n v="1"/>
    <x v="2"/>
    <x v="1"/>
    <x v="2"/>
    <x v="3"/>
    <n v="17000"/>
    <n v="17000"/>
    <n v="7000"/>
    <n v="24000"/>
    <s v="Chiba"/>
  </r>
  <r>
    <x v="118"/>
    <x v="98"/>
    <x v="118"/>
    <d v="2025-03-27T14:47:04"/>
    <d v="2025-03-29T14:47:04"/>
    <n v="2"/>
    <x v="1"/>
    <x v="1"/>
    <x v="1"/>
    <x v="0"/>
    <n v="12000"/>
    <n v="24000"/>
    <n v="7000"/>
    <n v="31000"/>
    <s v="Chiba"/>
  </r>
  <r>
    <x v="119"/>
    <x v="99"/>
    <x v="119"/>
    <d v="2025-04-05T00:54:31"/>
    <d v="2025-04-07T00:54:31"/>
    <n v="2"/>
    <x v="2"/>
    <x v="0"/>
    <x v="1"/>
    <x v="0"/>
    <n v="18000"/>
    <n v="36000"/>
    <n v="5500"/>
    <n v="41500"/>
    <s v="Nagoya"/>
  </r>
  <r>
    <x v="120"/>
    <x v="100"/>
    <x v="120"/>
    <d v="2025-04-02T08:01:40"/>
    <d v="2025-04-05T08:01:40"/>
    <n v="3"/>
    <x v="1"/>
    <x v="0"/>
    <x v="1"/>
    <x v="1"/>
    <n v="13000"/>
    <n v="39000"/>
    <n v="9500"/>
    <n v="48500"/>
    <s v="Tokyo"/>
  </r>
  <r>
    <x v="121"/>
    <x v="101"/>
    <x v="121"/>
    <d v="2025-04-16T09:33:11"/>
    <d v="2025-04-18T09:33:11"/>
    <n v="2"/>
    <x v="2"/>
    <x v="1"/>
    <x v="2"/>
    <x v="0"/>
    <n v="19000"/>
    <n v="38000"/>
    <n v="11000"/>
    <n v="49000"/>
    <s v="Saitama"/>
  </r>
  <r>
    <x v="122"/>
    <x v="102"/>
    <x v="122"/>
    <d v="2025-04-08T03:51:17"/>
    <d v="2025-04-15T03:51:17"/>
    <n v="7"/>
    <x v="2"/>
    <x v="1"/>
    <x v="2"/>
    <x v="0"/>
    <n v="18000"/>
    <n v="126000"/>
    <n v="0"/>
    <n v="126000"/>
    <s v="Nagoya"/>
  </r>
  <r>
    <x v="123"/>
    <x v="103"/>
    <x v="123"/>
    <d v="2025-03-28T07:41:45"/>
    <d v="2025-04-03T07:41:45"/>
    <n v="6"/>
    <x v="1"/>
    <x v="1"/>
    <x v="1"/>
    <x v="0"/>
    <n v="11000"/>
    <n v="66000"/>
    <n v="1000"/>
    <n v="67000"/>
    <s v="Chiba"/>
  </r>
  <r>
    <x v="124"/>
    <x v="104"/>
    <x v="124"/>
    <d v="2025-04-21T11:35:57"/>
    <d v="2025-04-28T11:35:57"/>
    <n v="7"/>
    <x v="2"/>
    <x v="0"/>
    <x v="1"/>
    <x v="0"/>
    <n v="19000"/>
    <n v="133000"/>
    <n v="14000"/>
    <n v="147000"/>
    <s v="Tokyo"/>
  </r>
  <r>
    <x v="125"/>
    <x v="105"/>
    <x v="125"/>
    <d v="2025-04-19T19:58:16"/>
    <d v="2025-04-25T19:58:16"/>
    <n v="6"/>
    <x v="0"/>
    <x v="0"/>
    <x v="2"/>
    <x v="0"/>
    <n v="29000"/>
    <n v="174000"/>
    <n v="10500"/>
    <n v="184500"/>
    <s v="Chiba"/>
  </r>
  <r>
    <x v="126"/>
    <x v="106"/>
    <x v="126"/>
    <d v="2025-04-11T01:09:47"/>
    <d v="2025-04-14T01:09:47"/>
    <n v="3"/>
    <x v="1"/>
    <x v="1"/>
    <x v="1"/>
    <x v="0"/>
    <n v="12000"/>
    <n v="36000"/>
    <n v="11500"/>
    <n v="47500"/>
    <s v="Osaka"/>
  </r>
  <r>
    <x v="127"/>
    <x v="107"/>
    <x v="127"/>
    <d v="2025-04-07T04:49:33"/>
    <d v="2025-04-13T04:49:33"/>
    <n v="6"/>
    <x v="0"/>
    <x v="1"/>
    <x v="2"/>
    <x v="1"/>
    <n v="29000"/>
    <n v="174000"/>
    <n v="2500"/>
    <n v="176500"/>
    <s v="Tokyo"/>
  </r>
  <r>
    <x v="128"/>
    <x v="108"/>
    <x v="128"/>
    <d v="2025-03-25T14:13:49"/>
    <d v="2025-03-26T14:13:49"/>
    <n v="1"/>
    <x v="2"/>
    <x v="1"/>
    <x v="1"/>
    <x v="1"/>
    <n v="18000"/>
    <n v="18000"/>
    <n v="1500"/>
    <n v="19500"/>
    <s v="Osaka"/>
  </r>
  <r>
    <x v="129"/>
    <x v="109"/>
    <x v="129"/>
    <d v="2025-04-14T21:51:43"/>
    <d v="2025-04-16T21:51:43"/>
    <n v="2"/>
    <x v="2"/>
    <x v="1"/>
    <x v="0"/>
    <x v="2"/>
    <n v="18000"/>
    <n v="36000"/>
    <n v="3000"/>
    <n v="39000"/>
    <s v="Saitama"/>
  </r>
  <r>
    <x v="130"/>
    <x v="44"/>
    <x v="130"/>
    <d v="2025-03-31T19:21:58"/>
    <d v="2025-04-02T19:21:58"/>
    <n v="2"/>
    <x v="1"/>
    <x v="1"/>
    <x v="1"/>
    <x v="3"/>
    <n v="11000"/>
    <n v="22000"/>
    <n v="4000"/>
    <n v="26000"/>
    <s v="Nagoya"/>
  </r>
  <r>
    <x v="131"/>
    <x v="8"/>
    <x v="131"/>
    <d v="2025-04-14T10:40:10"/>
    <d v="2025-04-19T10:40:10"/>
    <n v="5"/>
    <x v="1"/>
    <x v="1"/>
    <x v="0"/>
    <x v="0"/>
    <n v="13000"/>
    <n v="65000"/>
    <n v="11000"/>
    <n v="76000"/>
    <s v="Saitama"/>
  </r>
  <r>
    <x v="132"/>
    <x v="110"/>
    <x v="132"/>
    <d v="2025-04-08T13:43:41"/>
    <d v="2025-04-13T13:43:41"/>
    <n v="5"/>
    <x v="2"/>
    <x v="0"/>
    <x v="2"/>
    <x v="2"/>
    <n v="17000"/>
    <n v="85000"/>
    <n v="10000"/>
    <n v="95000"/>
    <s v="Chiba"/>
  </r>
  <r>
    <x v="133"/>
    <x v="62"/>
    <x v="133"/>
    <d v="2025-04-20T18:59:13"/>
    <d v="2025-04-23T18:59:13"/>
    <n v="3"/>
    <x v="1"/>
    <x v="1"/>
    <x v="0"/>
    <x v="2"/>
    <n v="12000"/>
    <n v="36000"/>
    <n v="16000"/>
    <n v="52000"/>
    <s v="Tokyo"/>
  </r>
  <r>
    <x v="134"/>
    <x v="30"/>
    <x v="134"/>
    <d v="2025-04-27T19:42:48"/>
    <d v="2025-05-03T19:42:48"/>
    <n v="6"/>
    <x v="1"/>
    <x v="0"/>
    <x v="1"/>
    <x v="3"/>
    <n v="12000"/>
    <n v="72000"/>
    <n v="7000"/>
    <n v="79000"/>
    <s v="Tokyo"/>
  </r>
  <r>
    <x v="135"/>
    <x v="99"/>
    <x v="135"/>
    <d v="2025-04-12T18:03:36"/>
    <d v="2025-04-18T18:03:36"/>
    <n v="6"/>
    <x v="1"/>
    <x v="1"/>
    <x v="2"/>
    <x v="0"/>
    <n v="12000"/>
    <n v="72000"/>
    <n v="8000"/>
    <n v="80000"/>
    <s v="Saitama"/>
  </r>
  <r>
    <x v="136"/>
    <x v="88"/>
    <x v="136"/>
    <d v="2025-04-28T23:14:01"/>
    <d v="2025-05-02T23:14:01"/>
    <n v="4"/>
    <x v="1"/>
    <x v="1"/>
    <x v="0"/>
    <x v="0"/>
    <n v="12000"/>
    <n v="48000"/>
    <n v="3000"/>
    <n v="51000"/>
    <s v="Osaka"/>
  </r>
  <r>
    <x v="137"/>
    <x v="111"/>
    <x v="137"/>
    <d v="2025-04-30T00:01:24"/>
    <d v="2025-05-01T00:01:24"/>
    <n v="1"/>
    <x v="0"/>
    <x v="1"/>
    <x v="0"/>
    <x v="1"/>
    <n v="30000"/>
    <n v="30000"/>
    <n v="4000"/>
    <n v="34000"/>
    <s v="Yokohama"/>
  </r>
  <r>
    <x v="138"/>
    <x v="12"/>
    <x v="138"/>
    <d v="2025-04-02T18:46:42"/>
    <d v="2025-04-09T18:46:42"/>
    <n v="7"/>
    <x v="2"/>
    <x v="1"/>
    <x v="1"/>
    <x v="0"/>
    <n v="17000"/>
    <n v="119000"/>
    <n v="13000"/>
    <n v="132000"/>
    <s v="Yokohama"/>
  </r>
  <r>
    <x v="139"/>
    <x v="112"/>
    <x v="139"/>
    <d v="2025-04-09T14:18:14"/>
    <d v="2025-04-10T14:18:14"/>
    <n v="1"/>
    <x v="1"/>
    <x v="1"/>
    <x v="1"/>
    <x v="2"/>
    <n v="13000"/>
    <n v="13000"/>
    <n v="10000"/>
    <n v="23000"/>
    <s v="Saitama"/>
  </r>
  <r>
    <x v="140"/>
    <x v="113"/>
    <x v="140"/>
    <d v="2025-04-29T06:07:59"/>
    <d v="2025-05-02T06:07:59"/>
    <n v="3"/>
    <x v="1"/>
    <x v="1"/>
    <x v="0"/>
    <x v="2"/>
    <n v="11000"/>
    <n v="33000"/>
    <n v="10000"/>
    <n v="43000"/>
    <s v="Osaka"/>
  </r>
  <r>
    <x v="141"/>
    <x v="114"/>
    <x v="141"/>
    <d v="2025-04-28T11:34:29"/>
    <d v="2025-04-30T11:34:29"/>
    <n v="2"/>
    <x v="1"/>
    <x v="1"/>
    <x v="1"/>
    <x v="1"/>
    <n v="11000"/>
    <n v="22000"/>
    <n v="7000"/>
    <n v="29000"/>
    <s v="Saitama"/>
  </r>
  <r>
    <x v="142"/>
    <x v="115"/>
    <x v="142"/>
    <d v="2025-04-12T14:38:02"/>
    <d v="2025-04-15T14:38:02"/>
    <n v="3"/>
    <x v="2"/>
    <x v="1"/>
    <x v="1"/>
    <x v="1"/>
    <n v="17000"/>
    <n v="51000"/>
    <n v="10500"/>
    <n v="61500"/>
    <s v="Chiba"/>
  </r>
  <r>
    <x v="143"/>
    <x v="116"/>
    <x v="143"/>
    <d v="2025-05-04T13:18:43"/>
    <d v="2025-05-09T13:18:43"/>
    <n v="5"/>
    <x v="1"/>
    <x v="0"/>
    <x v="2"/>
    <x v="1"/>
    <n v="11000"/>
    <n v="55000"/>
    <n v="8000"/>
    <n v="63000"/>
    <s v="Yokohama"/>
  </r>
  <r>
    <x v="144"/>
    <x v="117"/>
    <x v="144"/>
    <d v="2025-04-28T07:24:39"/>
    <d v="2025-05-05T07:24:39"/>
    <n v="7"/>
    <x v="1"/>
    <x v="1"/>
    <x v="2"/>
    <x v="1"/>
    <n v="11000"/>
    <n v="77000"/>
    <n v="6000"/>
    <n v="83000"/>
    <s v="Osaka"/>
  </r>
  <r>
    <x v="145"/>
    <x v="118"/>
    <x v="145"/>
    <d v="2025-05-03T11:02:32"/>
    <d v="2025-05-08T11:02:32"/>
    <n v="5"/>
    <x v="1"/>
    <x v="1"/>
    <x v="0"/>
    <x v="2"/>
    <n v="11000"/>
    <n v="55000"/>
    <n v="1500"/>
    <n v="56500"/>
    <s v="Nagoya"/>
  </r>
  <r>
    <x v="146"/>
    <x v="93"/>
    <x v="146"/>
    <d v="2025-04-19T18:00:41"/>
    <d v="2025-04-21T18:00:41"/>
    <n v="2"/>
    <x v="1"/>
    <x v="0"/>
    <x v="1"/>
    <x v="2"/>
    <n v="11000"/>
    <n v="22000"/>
    <n v="9000"/>
    <n v="31000"/>
    <s v="Yokohama"/>
  </r>
  <r>
    <x v="147"/>
    <x v="119"/>
    <x v="147"/>
    <d v="2025-04-13T05:49:50"/>
    <d v="2025-04-18T05:49:50"/>
    <n v="5"/>
    <x v="0"/>
    <x v="1"/>
    <x v="2"/>
    <x v="2"/>
    <n v="30000"/>
    <n v="150000"/>
    <n v="7000"/>
    <n v="157000"/>
    <s v="Chiba"/>
  </r>
  <r>
    <x v="148"/>
    <x v="104"/>
    <x v="148"/>
    <d v="2025-05-07T09:36:38"/>
    <d v="2025-05-08T09:36:38"/>
    <n v="1"/>
    <x v="1"/>
    <x v="0"/>
    <x v="0"/>
    <x v="1"/>
    <n v="12000"/>
    <n v="12000"/>
    <n v="7000"/>
    <n v="19000"/>
    <s v="Tokyo"/>
  </r>
  <r>
    <x v="149"/>
    <x v="120"/>
    <x v="149"/>
    <d v="2025-05-02T20:29:21"/>
    <d v="2025-05-08T20:29:21"/>
    <n v="6"/>
    <x v="0"/>
    <x v="0"/>
    <x v="1"/>
    <x v="3"/>
    <n v="31000"/>
    <n v="186000"/>
    <n v="12000"/>
    <n v="198000"/>
    <s v="Osaka"/>
  </r>
  <r>
    <x v="150"/>
    <x v="121"/>
    <x v="150"/>
    <d v="2025-04-27T03:41:13"/>
    <d v="2025-05-03T03:41:13"/>
    <n v="6"/>
    <x v="2"/>
    <x v="1"/>
    <x v="2"/>
    <x v="2"/>
    <n v="19000"/>
    <n v="114000"/>
    <n v="3000"/>
    <n v="117000"/>
    <s v="Chiba"/>
  </r>
  <r>
    <x v="151"/>
    <x v="122"/>
    <x v="151"/>
    <d v="2025-04-13T09:30:24"/>
    <d v="2025-04-18T09:30:24"/>
    <n v="5"/>
    <x v="2"/>
    <x v="1"/>
    <x v="1"/>
    <x v="2"/>
    <n v="19000"/>
    <n v="95000"/>
    <n v="2500"/>
    <n v="97500"/>
    <s v="Saitama"/>
  </r>
  <r>
    <x v="152"/>
    <x v="123"/>
    <x v="152"/>
    <d v="2025-05-08T14:54:30"/>
    <d v="2025-05-11T14:54:30"/>
    <n v="3"/>
    <x v="1"/>
    <x v="0"/>
    <x v="2"/>
    <x v="3"/>
    <n v="11000"/>
    <n v="33000"/>
    <n v="7000"/>
    <n v="40000"/>
    <s v="Yokohama"/>
  </r>
  <r>
    <x v="153"/>
    <x v="27"/>
    <x v="153"/>
    <d v="2025-04-23T17:53:54"/>
    <d v="2025-04-27T17:53:54"/>
    <n v="4"/>
    <x v="1"/>
    <x v="0"/>
    <x v="1"/>
    <x v="1"/>
    <n v="13000"/>
    <n v="52000"/>
    <n v="6500"/>
    <n v="58500"/>
    <s v="Saitama"/>
  </r>
  <r>
    <x v="154"/>
    <x v="124"/>
    <x v="154"/>
    <d v="2025-05-11T09:54:05"/>
    <d v="2025-05-14T09:54:05"/>
    <n v="3"/>
    <x v="1"/>
    <x v="1"/>
    <x v="1"/>
    <x v="0"/>
    <n v="11000"/>
    <n v="33000"/>
    <n v="9500"/>
    <n v="42500"/>
    <s v="Tokyo"/>
  </r>
  <r>
    <x v="155"/>
    <x v="93"/>
    <x v="155"/>
    <d v="2025-04-27T09:14:33"/>
    <d v="2025-04-29T09:14:33"/>
    <n v="2"/>
    <x v="1"/>
    <x v="1"/>
    <x v="1"/>
    <x v="0"/>
    <n v="13000"/>
    <n v="26000"/>
    <n v="7000"/>
    <n v="33000"/>
    <s v="Chiba"/>
  </r>
  <r>
    <x v="156"/>
    <x v="118"/>
    <x v="156"/>
    <d v="2025-05-10T18:14:42"/>
    <d v="2025-05-13T18:14:42"/>
    <n v="3"/>
    <x v="1"/>
    <x v="1"/>
    <x v="1"/>
    <x v="0"/>
    <n v="13000"/>
    <n v="39000"/>
    <n v="9000"/>
    <n v="48000"/>
    <s v="Chiba"/>
  </r>
  <r>
    <x v="157"/>
    <x v="78"/>
    <x v="157"/>
    <d v="2025-04-21T05:57:55"/>
    <d v="2025-04-23T05:57:55"/>
    <n v="2"/>
    <x v="2"/>
    <x v="1"/>
    <x v="2"/>
    <x v="0"/>
    <n v="17000"/>
    <n v="34000"/>
    <n v="11000"/>
    <n v="45000"/>
    <s v="Tokyo"/>
  </r>
  <r>
    <x v="158"/>
    <x v="125"/>
    <x v="158"/>
    <d v="2025-05-03T12:35:39"/>
    <d v="2025-05-09T12:35:39"/>
    <n v="6"/>
    <x v="1"/>
    <x v="1"/>
    <x v="1"/>
    <x v="1"/>
    <n v="12000"/>
    <n v="72000"/>
    <n v="6500"/>
    <n v="78500"/>
    <s v="Saitama"/>
  </r>
  <r>
    <x v="159"/>
    <x v="126"/>
    <x v="159"/>
    <d v="2025-04-22T17:45:35"/>
    <d v="2025-04-29T17:45:35"/>
    <n v="7"/>
    <x v="2"/>
    <x v="0"/>
    <x v="0"/>
    <x v="1"/>
    <n v="19000"/>
    <n v="133000"/>
    <n v="12000"/>
    <n v="145000"/>
    <s v="Osaka"/>
  </r>
  <r>
    <x v="160"/>
    <x v="127"/>
    <x v="160"/>
    <d v="2025-04-30T00:32:46"/>
    <d v="2025-05-01T00:32:46"/>
    <n v="1"/>
    <x v="2"/>
    <x v="1"/>
    <x v="2"/>
    <x v="1"/>
    <n v="19000"/>
    <n v="19000"/>
    <n v="8500"/>
    <n v="27500"/>
    <s v="Yokohama"/>
  </r>
  <r>
    <x v="161"/>
    <x v="128"/>
    <x v="161"/>
    <d v="2025-05-15T17:02:47"/>
    <d v="2025-05-17T17:02:47"/>
    <n v="2"/>
    <x v="1"/>
    <x v="1"/>
    <x v="1"/>
    <x v="1"/>
    <n v="12000"/>
    <n v="24000"/>
    <n v="10500"/>
    <n v="34500"/>
    <s v="Tokyo"/>
  </r>
  <r>
    <x v="162"/>
    <x v="82"/>
    <x v="162"/>
    <d v="2025-05-04T23:51:03"/>
    <d v="2025-05-05T23:51:03"/>
    <n v="1"/>
    <x v="1"/>
    <x v="1"/>
    <x v="1"/>
    <x v="3"/>
    <n v="12000"/>
    <n v="12000"/>
    <n v="7500"/>
    <n v="19500"/>
    <s v="Tokyo"/>
  </r>
  <r>
    <x v="163"/>
    <x v="129"/>
    <x v="163"/>
    <d v="2025-05-20T14:13:16"/>
    <d v="2025-05-26T14:13:16"/>
    <n v="6"/>
    <x v="1"/>
    <x v="0"/>
    <x v="1"/>
    <x v="3"/>
    <n v="12000"/>
    <n v="72000"/>
    <n v="2500"/>
    <n v="74500"/>
    <s v="Osaka"/>
  </r>
  <r>
    <x v="164"/>
    <x v="130"/>
    <x v="164"/>
    <d v="2025-05-06T23:50:01"/>
    <d v="2025-05-07T23:50:01"/>
    <n v="1"/>
    <x v="2"/>
    <x v="0"/>
    <x v="2"/>
    <x v="1"/>
    <n v="19000"/>
    <n v="19000"/>
    <n v="4500"/>
    <n v="23500"/>
    <s v="Yokohama"/>
  </r>
  <r>
    <x v="165"/>
    <x v="131"/>
    <x v="165"/>
    <d v="2025-05-03T07:11:41"/>
    <d v="2025-05-10T07:11:41"/>
    <n v="7"/>
    <x v="2"/>
    <x v="1"/>
    <x v="1"/>
    <x v="0"/>
    <n v="19000"/>
    <n v="133000"/>
    <n v="5500"/>
    <n v="138500"/>
    <s v="Osaka"/>
  </r>
  <r>
    <x v="166"/>
    <x v="28"/>
    <x v="166"/>
    <d v="2025-04-29T13:44:50"/>
    <d v="2025-05-05T13:44:50"/>
    <n v="6"/>
    <x v="2"/>
    <x v="1"/>
    <x v="0"/>
    <x v="0"/>
    <n v="17000"/>
    <n v="102000"/>
    <n v="9000"/>
    <n v="111000"/>
    <s v="Yokohama"/>
  </r>
  <r>
    <x v="167"/>
    <x v="132"/>
    <x v="167"/>
    <d v="2025-05-08T13:06:44"/>
    <d v="2025-05-11T13:06:44"/>
    <n v="3"/>
    <x v="2"/>
    <x v="0"/>
    <x v="0"/>
    <x v="2"/>
    <n v="18000"/>
    <n v="54000"/>
    <n v="10500"/>
    <n v="64500"/>
    <s v="Nagoya"/>
  </r>
  <r>
    <x v="168"/>
    <x v="123"/>
    <x v="168"/>
    <d v="2025-05-01T14:09:09"/>
    <d v="2025-05-04T14:09:09"/>
    <n v="3"/>
    <x v="0"/>
    <x v="1"/>
    <x v="1"/>
    <x v="3"/>
    <n v="30000"/>
    <n v="90000"/>
    <n v="5500"/>
    <n v="95500"/>
    <s v="Chiba"/>
  </r>
  <r>
    <x v="169"/>
    <x v="14"/>
    <x v="169"/>
    <d v="2025-04-30T15:15:59"/>
    <d v="2025-05-05T15:15:59"/>
    <n v="5"/>
    <x v="1"/>
    <x v="1"/>
    <x v="2"/>
    <x v="3"/>
    <n v="11000"/>
    <n v="55000"/>
    <n v="5500"/>
    <n v="60500"/>
    <s v="Chiba"/>
  </r>
  <r>
    <x v="170"/>
    <x v="133"/>
    <x v="170"/>
    <d v="2025-05-13T20:09:52"/>
    <d v="2025-05-15T20:09:52"/>
    <n v="2"/>
    <x v="1"/>
    <x v="0"/>
    <x v="2"/>
    <x v="1"/>
    <n v="12000"/>
    <n v="24000"/>
    <n v="3500"/>
    <n v="27500"/>
    <s v="Tokyo"/>
  </r>
  <r>
    <x v="171"/>
    <x v="134"/>
    <x v="171"/>
    <d v="2025-05-17T19:02:40"/>
    <d v="2025-05-24T19:02:40"/>
    <n v="7"/>
    <x v="2"/>
    <x v="1"/>
    <x v="1"/>
    <x v="2"/>
    <n v="18000"/>
    <n v="126000"/>
    <n v="4000"/>
    <n v="130000"/>
    <s v="Chiba"/>
  </r>
  <r>
    <x v="172"/>
    <x v="135"/>
    <x v="172"/>
    <d v="2025-05-16T16:05:46"/>
    <d v="2025-05-19T16:05:46"/>
    <n v="3"/>
    <x v="2"/>
    <x v="0"/>
    <x v="2"/>
    <x v="1"/>
    <n v="18000"/>
    <n v="54000"/>
    <n v="3500"/>
    <n v="57500"/>
    <s v="Yokohama"/>
  </r>
  <r>
    <x v="173"/>
    <x v="136"/>
    <x v="173"/>
    <d v="2025-05-10T01:42:39"/>
    <d v="2025-05-12T01:42:39"/>
    <n v="2"/>
    <x v="1"/>
    <x v="1"/>
    <x v="0"/>
    <x v="3"/>
    <n v="13000"/>
    <n v="26000"/>
    <n v="11000"/>
    <n v="37000"/>
    <s v="Tokyo"/>
  </r>
  <r>
    <x v="174"/>
    <x v="84"/>
    <x v="174"/>
    <d v="2025-05-07T12:53:44"/>
    <d v="2025-05-13T12:53:44"/>
    <n v="6"/>
    <x v="2"/>
    <x v="1"/>
    <x v="0"/>
    <x v="0"/>
    <n v="18000"/>
    <n v="108000"/>
    <n v="6500"/>
    <n v="114500"/>
    <s v="Osaka"/>
  </r>
  <r>
    <x v="175"/>
    <x v="137"/>
    <x v="175"/>
    <d v="2025-05-25T15:33:31"/>
    <d v="2025-05-28T15:33:31"/>
    <n v="3"/>
    <x v="2"/>
    <x v="1"/>
    <x v="1"/>
    <x v="1"/>
    <n v="18000"/>
    <n v="54000"/>
    <n v="10500"/>
    <n v="64500"/>
    <s v="Osaka"/>
  </r>
  <r>
    <x v="176"/>
    <x v="54"/>
    <x v="176"/>
    <d v="2025-05-22T00:09:18"/>
    <d v="2025-05-26T00:09:18"/>
    <n v="4"/>
    <x v="0"/>
    <x v="1"/>
    <x v="2"/>
    <x v="3"/>
    <n v="31000"/>
    <n v="124000"/>
    <n v="3500"/>
    <n v="127500"/>
    <s v="Saitama"/>
  </r>
  <r>
    <x v="177"/>
    <x v="138"/>
    <x v="177"/>
    <d v="2025-05-16T00:54:59"/>
    <d v="2025-05-19T00:54:59"/>
    <n v="3"/>
    <x v="1"/>
    <x v="1"/>
    <x v="2"/>
    <x v="0"/>
    <n v="12000"/>
    <n v="36000"/>
    <n v="9500"/>
    <n v="45500"/>
    <s v="Yokohama"/>
  </r>
  <r>
    <x v="178"/>
    <x v="130"/>
    <x v="178"/>
    <d v="2025-05-28T20:49:16"/>
    <d v="2025-06-03T20:49:16"/>
    <n v="6"/>
    <x v="0"/>
    <x v="1"/>
    <x v="1"/>
    <x v="2"/>
    <n v="30000"/>
    <n v="180000"/>
    <n v="3000"/>
    <n v="183000"/>
    <s v="Osaka"/>
  </r>
  <r>
    <x v="179"/>
    <x v="139"/>
    <x v="179"/>
    <d v="2025-05-09T10:54:15"/>
    <d v="2025-05-12T10:54:15"/>
    <n v="3"/>
    <x v="1"/>
    <x v="0"/>
    <x v="1"/>
    <x v="0"/>
    <n v="11000"/>
    <n v="33000"/>
    <n v="500"/>
    <n v="33500"/>
    <s v="Chiba"/>
  </r>
  <r>
    <x v="180"/>
    <x v="140"/>
    <x v="180"/>
    <d v="2025-05-10T21:43:34"/>
    <d v="2025-05-16T21:43:34"/>
    <n v="6"/>
    <x v="1"/>
    <x v="1"/>
    <x v="1"/>
    <x v="3"/>
    <n v="12000"/>
    <n v="72000"/>
    <n v="10000"/>
    <n v="82000"/>
    <s v="Tokyo"/>
  </r>
  <r>
    <x v="181"/>
    <x v="141"/>
    <x v="181"/>
    <d v="2025-05-25T05:59:59"/>
    <d v="2025-05-27T05:59:59"/>
    <n v="2"/>
    <x v="1"/>
    <x v="1"/>
    <x v="1"/>
    <x v="0"/>
    <n v="13000"/>
    <n v="26000"/>
    <n v="5000"/>
    <n v="31000"/>
    <s v="Yokohama"/>
  </r>
  <r>
    <x v="182"/>
    <x v="110"/>
    <x v="182"/>
    <d v="2025-05-11T03:23:35"/>
    <d v="2025-05-16T03:23:35"/>
    <n v="5"/>
    <x v="2"/>
    <x v="1"/>
    <x v="1"/>
    <x v="1"/>
    <n v="19000"/>
    <n v="95000"/>
    <n v="9500"/>
    <n v="104500"/>
    <s v="Chiba"/>
  </r>
  <r>
    <x v="183"/>
    <x v="142"/>
    <x v="183"/>
    <d v="2025-05-17T19:34:01"/>
    <d v="2025-05-18T19:34:01"/>
    <n v="1"/>
    <x v="2"/>
    <x v="1"/>
    <x v="2"/>
    <x v="3"/>
    <n v="18000"/>
    <n v="18000"/>
    <n v="12500"/>
    <n v="30500"/>
    <s v="Nagoya"/>
  </r>
  <r>
    <x v="184"/>
    <x v="143"/>
    <x v="184"/>
    <d v="2025-05-31T19:41:17"/>
    <d v="2025-06-04T19:41:17"/>
    <n v="4"/>
    <x v="1"/>
    <x v="0"/>
    <x v="1"/>
    <x v="3"/>
    <n v="12000"/>
    <n v="48000"/>
    <n v="2000"/>
    <n v="50000"/>
    <s v="Osaka"/>
  </r>
  <r>
    <x v="185"/>
    <x v="143"/>
    <x v="185"/>
    <d v="2025-05-24T21:14:04"/>
    <d v="2025-05-27T21:14:04"/>
    <n v="3"/>
    <x v="1"/>
    <x v="1"/>
    <x v="0"/>
    <x v="1"/>
    <n v="11000"/>
    <n v="33000"/>
    <n v="3500"/>
    <n v="36500"/>
    <s v="Nagoya"/>
  </r>
  <r>
    <x v="186"/>
    <x v="144"/>
    <x v="186"/>
    <d v="2025-06-01T04:11:42"/>
    <d v="2025-06-03T04:11:42"/>
    <n v="2"/>
    <x v="2"/>
    <x v="1"/>
    <x v="0"/>
    <x v="0"/>
    <n v="19000"/>
    <n v="38000"/>
    <n v="5000"/>
    <n v="43000"/>
    <s v="Tokyo"/>
  </r>
  <r>
    <x v="187"/>
    <x v="145"/>
    <x v="187"/>
    <d v="2025-05-09T02:21:10"/>
    <d v="2025-05-12T02:21:10"/>
    <n v="3"/>
    <x v="1"/>
    <x v="1"/>
    <x v="2"/>
    <x v="2"/>
    <n v="11000"/>
    <n v="33000"/>
    <n v="3500"/>
    <n v="36500"/>
    <s v="Tokyo"/>
  </r>
  <r>
    <x v="188"/>
    <x v="82"/>
    <x v="188"/>
    <d v="2025-05-13T20:30:03"/>
    <d v="2025-05-15T20:30:03"/>
    <n v="2"/>
    <x v="2"/>
    <x v="1"/>
    <x v="1"/>
    <x v="3"/>
    <n v="19000"/>
    <n v="38000"/>
    <n v="13000"/>
    <n v="51000"/>
    <s v="Saitama"/>
  </r>
  <r>
    <x v="189"/>
    <x v="122"/>
    <x v="189"/>
    <d v="2025-05-19T00:51:04"/>
    <d v="2025-05-23T00:51:04"/>
    <n v="4"/>
    <x v="2"/>
    <x v="1"/>
    <x v="1"/>
    <x v="3"/>
    <n v="17000"/>
    <n v="68000"/>
    <n v="12000"/>
    <n v="80000"/>
    <s v="Osaka"/>
  </r>
  <r>
    <x v="190"/>
    <x v="146"/>
    <x v="190"/>
    <d v="2025-06-01T10:13:57"/>
    <d v="2025-06-07T10:13:57"/>
    <n v="6"/>
    <x v="0"/>
    <x v="1"/>
    <x v="2"/>
    <x v="0"/>
    <n v="29000"/>
    <n v="174000"/>
    <n v="10000"/>
    <n v="184000"/>
    <s v="Osaka"/>
  </r>
  <r>
    <x v="191"/>
    <x v="10"/>
    <x v="191"/>
    <d v="2025-05-17T03:54:28"/>
    <d v="2025-05-20T03:54:28"/>
    <n v="3"/>
    <x v="2"/>
    <x v="1"/>
    <x v="0"/>
    <x v="2"/>
    <n v="17000"/>
    <n v="51000"/>
    <n v="4500"/>
    <n v="55500"/>
    <s v="Saitama"/>
  </r>
  <r>
    <x v="192"/>
    <x v="138"/>
    <x v="192"/>
    <d v="2025-06-05T01:57:06"/>
    <d v="2025-06-11T01:57:06"/>
    <n v="6"/>
    <x v="2"/>
    <x v="0"/>
    <x v="1"/>
    <x v="1"/>
    <n v="19000"/>
    <n v="114000"/>
    <n v="5000"/>
    <n v="119000"/>
    <s v="Saitama"/>
  </r>
  <r>
    <x v="193"/>
    <x v="147"/>
    <x v="193"/>
    <d v="2025-05-26T10:58:36"/>
    <d v="2025-05-29T10:58:36"/>
    <n v="3"/>
    <x v="1"/>
    <x v="0"/>
    <x v="1"/>
    <x v="0"/>
    <n v="12000"/>
    <n v="36000"/>
    <n v="4500"/>
    <n v="40500"/>
    <s v="Osaka"/>
  </r>
  <r>
    <x v="194"/>
    <x v="148"/>
    <x v="194"/>
    <d v="2025-05-22T11:01:57"/>
    <d v="2025-05-27T11:01:57"/>
    <n v="5"/>
    <x v="0"/>
    <x v="0"/>
    <x v="1"/>
    <x v="1"/>
    <n v="30000"/>
    <n v="150000"/>
    <n v="12000"/>
    <n v="162000"/>
    <s v="Chiba"/>
  </r>
  <r>
    <x v="195"/>
    <x v="149"/>
    <x v="195"/>
    <d v="2025-05-16T23:59:12"/>
    <d v="2025-05-20T23:59:12"/>
    <n v="4"/>
    <x v="1"/>
    <x v="1"/>
    <x v="0"/>
    <x v="1"/>
    <n v="12000"/>
    <n v="48000"/>
    <n v="6500"/>
    <n v="54500"/>
    <s v="Tokyo"/>
  </r>
  <r>
    <x v="196"/>
    <x v="150"/>
    <x v="196"/>
    <d v="2025-05-14T01:36:27"/>
    <d v="2025-05-15T01:36:27"/>
    <n v="1"/>
    <x v="2"/>
    <x v="1"/>
    <x v="1"/>
    <x v="1"/>
    <n v="19000"/>
    <n v="19000"/>
    <n v="6500"/>
    <n v="25500"/>
    <s v="Tokyo"/>
  </r>
  <r>
    <x v="197"/>
    <x v="151"/>
    <x v="197"/>
    <d v="2025-06-09T02:08:01"/>
    <d v="2025-06-10T02:08:01"/>
    <n v="1"/>
    <x v="2"/>
    <x v="1"/>
    <x v="1"/>
    <x v="3"/>
    <n v="18000"/>
    <n v="18000"/>
    <n v="0"/>
    <n v="18000"/>
    <s v="Osaka"/>
  </r>
  <r>
    <x v="198"/>
    <x v="112"/>
    <x v="198"/>
    <d v="2025-05-26T22:12:46"/>
    <d v="2025-06-02T22:12:46"/>
    <n v="7"/>
    <x v="1"/>
    <x v="1"/>
    <x v="1"/>
    <x v="1"/>
    <n v="11000"/>
    <n v="77000"/>
    <n v="0"/>
    <n v="77000"/>
    <s v="Tokyo"/>
  </r>
  <r>
    <x v="199"/>
    <x v="152"/>
    <x v="199"/>
    <d v="2025-05-24T06:09:38"/>
    <d v="2025-05-27T06:09:38"/>
    <n v="3"/>
    <x v="1"/>
    <x v="1"/>
    <x v="0"/>
    <x v="1"/>
    <n v="12000"/>
    <n v="36000"/>
    <n v="3500"/>
    <n v="39500"/>
    <s v="Tokyo"/>
  </r>
  <r>
    <x v="200"/>
    <x v="71"/>
    <x v="200"/>
    <d v="2025-05-20T16:58:11"/>
    <d v="2025-05-23T16:58:11"/>
    <n v="3"/>
    <x v="1"/>
    <x v="1"/>
    <x v="1"/>
    <x v="2"/>
    <n v="11000"/>
    <n v="33000"/>
    <n v="13500"/>
    <n v="46500"/>
    <s v="Tokyo"/>
  </r>
  <r>
    <x v="201"/>
    <x v="153"/>
    <x v="201"/>
    <d v="2025-05-18T12:57:46"/>
    <d v="2025-05-20T12:57:46"/>
    <n v="2"/>
    <x v="1"/>
    <x v="1"/>
    <x v="0"/>
    <x v="1"/>
    <n v="11000"/>
    <n v="22000"/>
    <n v="5500"/>
    <n v="27500"/>
    <s v="Osaka"/>
  </r>
  <r>
    <x v="202"/>
    <x v="154"/>
    <x v="202"/>
    <d v="2025-06-13T05:41:35"/>
    <d v="2025-06-16T05:41:35"/>
    <n v="3"/>
    <x v="1"/>
    <x v="0"/>
    <x v="0"/>
    <x v="2"/>
    <n v="11000"/>
    <n v="33000"/>
    <n v="14500"/>
    <n v="47500"/>
    <s v="Saitama"/>
  </r>
  <r>
    <x v="203"/>
    <x v="87"/>
    <x v="203"/>
    <d v="2025-06-09T11:53:58"/>
    <d v="2025-06-16T11:53:58"/>
    <n v="7"/>
    <x v="0"/>
    <x v="1"/>
    <x v="1"/>
    <x v="2"/>
    <n v="31000"/>
    <n v="217000"/>
    <n v="13500"/>
    <n v="230500"/>
    <s v="Osaka"/>
  </r>
  <r>
    <x v="204"/>
    <x v="155"/>
    <x v="204"/>
    <d v="2025-06-05T15:41:17"/>
    <d v="2025-06-11T15:41:17"/>
    <n v="6"/>
    <x v="2"/>
    <x v="0"/>
    <x v="2"/>
    <x v="2"/>
    <n v="18000"/>
    <n v="108000"/>
    <n v="7000"/>
    <n v="115000"/>
    <s v="Tokyo"/>
  </r>
  <r>
    <x v="205"/>
    <x v="156"/>
    <x v="205"/>
    <d v="2025-06-11T23:15:06"/>
    <d v="2025-06-12T23:15:06"/>
    <n v="1"/>
    <x v="0"/>
    <x v="0"/>
    <x v="1"/>
    <x v="0"/>
    <n v="30000"/>
    <n v="30000"/>
    <n v="9500"/>
    <n v="39500"/>
    <s v="Nagoya"/>
  </r>
  <r>
    <x v="206"/>
    <x v="157"/>
    <x v="206"/>
    <d v="2025-06-17T05:53:29"/>
    <d v="2025-06-22T05:53:29"/>
    <n v="5"/>
    <x v="2"/>
    <x v="0"/>
    <x v="2"/>
    <x v="0"/>
    <n v="17000"/>
    <n v="85000"/>
    <n v="4500"/>
    <n v="89500"/>
    <s v="Tokyo"/>
  </r>
  <r>
    <x v="207"/>
    <x v="42"/>
    <x v="207"/>
    <d v="2025-06-07T10:48:52"/>
    <d v="2025-06-09T10:48:52"/>
    <n v="2"/>
    <x v="0"/>
    <x v="0"/>
    <x v="0"/>
    <x v="2"/>
    <n v="29000"/>
    <n v="58000"/>
    <n v="7500"/>
    <n v="65500"/>
    <s v="Tokyo"/>
  </r>
  <r>
    <x v="208"/>
    <x v="158"/>
    <x v="208"/>
    <d v="2025-06-08T14:44:36"/>
    <d v="2025-06-12T14:44:36"/>
    <n v="4"/>
    <x v="1"/>
    <x v="0"/>
    <x v="1"/>
    <x v="0"/>
    <n v="13000"/>
    <n v="52000"/>
    <n v="8500"/>
    <n v="60500"/>
    <s v="Chiba"/>
  </r>
  <r>
    <x v="209"/>
    <x v="12"/>
    <x v="209"/>
    <d v="2025-06-12T19:00:11"/>
    <d v="2025-06-15T19:00:11"/>
    <n v="3"/>
    <x v="1"/>
    <x v="1"/>
    <x v="1"/>
    <x v="0"/>
    <n v="12000"/>
    <n v="36000"/>
    <n v="4500"/>
    <n v="40500"/>
    <s v="Nagoya"/>
  </r>
  <r>
    <x v="210"/>
    <x v="145"/>
    <x v="210"/>
    <d v="2025-06-03T15:15:01"/>
    <d v="2025-06-08T15:15:01"/>
    <n v="5"/>
    <x v="1"/>
    <x v="0"/>
    <x v="2"/>
    <x v="2"/>
    <n v="11000"/>
    <n v="55000"/>
    <n v="7500"/>
    <n v="62500"/>
    <s v="Nagoya"/>
  </r>
  <r>
    <x v="211"/>
    <x v="159"/>
    <x v="211"/>
    <d v="2025-06-12T16:50:26"/>
    <d v="2025-06-16T16:50:26"/>
    <n v="4"/>
    <x v="2"/>
    <x v="0"/>
    <x v="0"/>
    <x v="0"/>
    <n v="18000"/>
    <n v="72000"/>
    <n v="5000"/>
    <n v="77000"/>
    <s v="Tokyo"/>
  </r>
  <r>
    <x v="212"/>
    <x v="133"/>
    <x v="212"/>
    <d v="2025-06-01T17:32:22"/>
    <d v="2025-06-05T17:32:22"/>
    <n v="4"/>
    <x v="1"/>
    <x v="0"/>
    <x v="1"/>
    <x v="2"/>
    <n v="11000"/>
    <n v="44000"/>
    <n v="10000"/>
    <n v="54000"/>
    <s v="Saitama"/>
  </r>
  <r>
    <x v="213"/>
    <x v="160"/>
    <x v="213"/>
    <d v="2025-06-23T06:23:46"/>
    <d v="2025-06-24T06:23:46"/>
    <n v="1"/>
    <x v="2"/>
    <x v="0"/>
    <x v="1"/>
    <x v="3"/>
    <n v="17000"/>
    <n v="17000"/>
    <n v="15000"/>
    <n v="32000"/>
    <s v="Tokyo"/>
  </r>
  <r>
    <x v="214"/>
    <x v="47"/>
    <x v="214"/>
    <d v="2025-06-08T21:39:56"/>
    <d v="2025-06-11T21:39:56"/>
    <n v="3"/>
    <x v="1"/>
    <x v="0"/>
    <x v="1"/>
    <x v="2"/>
    <n v="11000"/>
    <n v="33000"/>
    <n v="8500"/>
    <n v="41500"/>
    <s v="Nagoya"/>
  </r>
  <r>
    <x v="215"/>
    <x v="161"/>
    <x v="215"/>
    <d v="2025-06-02T04:18:00"/>
    <d v="2025-06-08T04:18:00"/>
    <n v="6"/>
    <x v="0"/>
    <x v="1"/>
    <x v="1"/>
    <x v="0"/>
    <n v="30000"/>
    <n v="180000"/>
    <n v="5000"/>
    <n v="185000"/>
    <s v="Tokyo"/>
  </r>
  <r>
    <x v="216"/>
    <x v="43"/>
    <x v="216"/>
    <d v="2025-05-27T05:10:55"/>
    <d v="2025-05-29T05:10:55"/>
    <n v="2"/>
    <x v="2"/>
    <x v="0"/>
    <x v="2"/>
    <x v="3"/>
    <n v="19000"/>
    <n v="38000"/>
    <n v="9000"/>
    <n v="47000"/>
    <s v="Yokohama"/>
  </r>
  <r>
    <x v="217"/>
    <x v="54"/>
    <x v="217"/>
    <d v="2025-06-06T15:00:06"/>
    <d v="2025-06-07T15:00:06"/>
    <n v="1"/>
    <x v="0"/>
    <x v="1"/>
    <x v="1"/>
    <x v="0"/>
    <n v="30000"/>
    <n v="30000"/>
    <n v="9500"/>
    <n v="39500"/>
    <s v="Chiba"/>
  </r>
  <r>
    <x v="218"/>
    <x v="162"/>
    <x v="218"/>
    <d v="2025-06-05T09:38:35"/>
    <d v="2025-06-06T09:38:35"/>
    <n v="1"/>
    <x v="0"/>
    <x v="1"/>
    <x v="1"/>
    <x v="3"/>
    <n v="29000"/>
    <n v="29000"/>
    <n v="5500"/>
    <n v="34500"/>
    <s v="Nagoya"/>
  </r>
  <r>
    <x v="219"/>
    <x v="163"/>
    <x v="219"/>
    <d v="2025-06-11T21:51:34"/>
    <d v="2025-06-15T21:51:34"/>
    <n v="4"/>
    <x v="0"/>
    <x v="0"/>
    <x v="0"/>
    <x v="3"/>
    <n v="30000"/>
    <n v="120000"/>
    <n v="9000"/>
    <n v="129000"/>
    <s v="Chiba"/>
  </r>
  <r>
    <x v="220"/>
    <x v="118"/>
    <x v="220"/>
    <d v="2025-06-11T12:19:55"/>
    <d v="2025-06-14T12:19:55"/>
    <n v="3"/>
    <x v="2"/>
    <x v="1"/>
    <x v="1"/>
    <x v="3"/>
    <n v="18000"/>
    <n v="54000"/>
    <n v="6000"/>
    <n v="60000"/>
    <s v="Saitama"/>
  </r>
  <r>
    <x v="221"/>
    <x v="164"/>
    <x v="221"/>
    <d v="2025-06-20T13:40:02"/>
    <d v="2025-06-22T13:40:02"/>
    <n v="2"/>
    <x v="1"/>
    <x v="1"/>
    <x v="1"/>
    <x v="2"/>
    <n v="11000"/>
    <n v="22000"/>
    <n v="11000"/>
    <n v="33000"/>
    <s v="Saitama"/>
  </r>
  <r>
    <x v="222"/>
    <x v="63"/>
    <x v="222"/>
    <d v="2025-06-02T15:24:19"/>
    <d v="2025-06-05T15:24:19"/>
    <n v="3"/>
    <x v="1"/>
    <x v="1"/>
    <x v="1"/>
    <x v="3"/>
    <n v="11000"/>
    <n v="33000"/>
    <n v="10500"/>
    <n v="43500"/>
    <s v="Nagoya"/>
  </r>
  <r>
    <x v="223"/>
    <x v="165"/>
    <x v="223"/>
    <d v="2025-06-09T09:08:27"/>
    <d v="2025-06-13T09:08:27"/>
    <n v="4"/>
    <x v="1"/>
    <x v="1"/>
    <x v="1"/>
    <x v="3"/>
    <n v="13000"/>
    <n v="52000"/>
    <n v="3500"/>
    <n v="55500"/>
    <s v="Saitama"/>
  </r>
  <r>
    <x v="224"/>
    <x v="166"/>
    <x v="224"/>
    <d v="2025-06-23T15:10:46"/>
    <d v="2025-06-28T15:10:46"/>
    <n v="5"/>
    <x v="1"/>
    <x v="0"/>
    <x v="1"/>
    <x v="0"/>
    <n v="12000"/>
    <n v="60000"/>
    <n v="4000"/>
    <n v="64000"/>
    <s v="Chiba"/>
  </r>
  <r>
    <x v="225"/>
    <x v="167"/>
    <x v="225"/>
    <d v="2025-06-12T17:06:13"/>
    <d v="2025-06-14T17:06:13"/>
    <n v="2"/>
    <x v="0"/>
    <x v="1"/>
    <x v="2"/>
    <x v="1"/>
    <n v="30000"/>
    <n v="60000"/>
    <n v="4000"/>
    <n v="64000"/>
    <s v="Osaka"/>
  </r>
  <r>
    <x v="226"/>
    <x v="43"/>
    <x v="226"/>
    <d v="2025-06-21T00:01:08"/>
    <d v="2025-06-23T00:01:08"/>
    <n v="2"/>
    <x v="1"/>
    <x v="0"/>
    <x v="2"/>
    <x v="2"/>
    <n v="11000"/>
    <n v="22000"/>
    <n v="11000"/>
    <n v="33000"/>
    <s v="Yokohama"/>
  </r>
  <r>
    <x v="227"/>
    <x v="93"/>
    <x v="227"/>
    <d v="2025-06-12T04:01:59"/>
    <d v="2025-06-16T04:01:59"/>
    <n v="4"/>
    <x v="1"/>
    <x v="1"/>
    <x v="1"/>
    <x v="0"/>
    <n v="13000"/>
    <n v="52000"/>
    <n v="6000"/>
    <n v="58000"/>
    <s v="Chiba"/>
  </r>
  <r>
    <x v="228"/>
    <x v="168"/>
    <x v="228"/>
    <d v="2025-06-23T09:49:42"/>
    <d v="2025-06-26T09:49:42"/>
    <n v="3"/>
    <x v="2"/>
    <x v="1"/>
    <x v="2"/>
    <x v="2"/>
    <n v="18000"/>
    <n v="54000"/>
    <n v="10500"/>
    <n v="64500"/>
    <s v="Tokyo"/>
  </r>
  <r>
    <x v="229"/>
    <x v="169"/>
    <x v="229"/>
    <d v="2025-06-03T11:47:42"/>
    <d v="2025-06-05T11:47:42"/>
    <n v="2"/>
    <x v="1"/>
    <x v="1"/>
    <x v="1"/>
    <x v="1"/>
    <n v="12000"/>
    <n v="24000"/>
    <n v="3000"/>
    <n v="27000"/>
    <s v="Yokohama"/>
  </r>
  <r>
    <x v="230"/>
    <x v="170"/>
    <x v="230"/>
    <d v="2025-06-24T23:34:08"/>
    <d v="2025-06-27T23:34:08"/>
    <n v="3"/>
    <x v="2"/>
    <x v="0"/>
    <x v="1"/>
    <x v="0"/>
    <n v="17000"/>
    <n v="51000"/>
    <n v="12000"/>
    <n v="63000"/>
    <s v="Chiba"/>
  </r>
  <r>
    <x v="231"/>
    <x v="171"/>
    <x v="231"/>
    <d v="2025-06-18T14:12:01"/>
    <d v="2025-06-25T14:12:01"/>
    <n v="7"/>
    <x v="1"/>
    <x v="1"/>
    <x v="2"/>
    <x v="2"/>
    <n v="11000"/>
    <n v="77000"/>
    <n v="5000"/>
    <n v="82000"/>
    <s v="Yokohama"/>
  </r>
  <r>
    <x v="232"/>
    <x v="172"/>
    <x v="232"/>
    <d v="2025-06-20T21:59:32"/>
    <d v="2025-06-22T21:59:32"/>
    <n v="2"/>
    <x v="2"/>
    <x v="0"/>
    <x v="2"/>
    <x v="0"/>
    <n v="17000"/>
    <n v="34000"/>
    <n v="4500"/>
    <n v="38500"/>
    <s v="Chiba"/>
  </r>
  <r>
    <x v="233"/>
    <x v="21"/>
    <x v="233"/>
    <d v="2025-06-15T23:00:09"/>
    <d v="2025-06-16T23:00:09"/>
    <n v="1"/>
    <x v="2"/>
    <x v="1"/>
    <x v="1"/>
    <x v="1"/>
    <n v="19000"/>
    <n v="19000"/>
    <n v="7500"/>
    <n v="26500"/>
    <s v="Chiba"/>
  </r>
  <r>
    <x v="234"/>
    <x v="173"/>
    <x v="234"/>
    <d v="2025-06-25T04:45:08"/>
    <d v="2025-06-27T04:45:08"/>
    <n v="2"/>
    <x v="2"/>
    <x v="0"/>
    <x v="1"/>
    <x v="0"/>
    <n v="19000"/>
    <n v="38000"/>
    <n v="6500"/>
    <n v="44500"/>
    <s v="Osaka"/>
  </r>
  <r>
    <x v="235"/>
    <x v="57"/>
    <x v="235"/>
    <d v="2025-06-14T08:44:02"/>
    <d v="2025-06-16T08:44:02"/>
    <n v="2"/>
    <x v="2"/>
    <x v="0"/>
    <x v="0"/>
    <x v="1"/>
    <n v="19000"/>
    <n v="38000"/>
    <n v="1500"/>
    <n v="39500"/>
    <s v="Osaka"/>
  </r>
  <r>
    <x v="236"/>
    <x v="90"/>
    <x v="236"/>
    <d v="2025-06-18T15:59:23"/>
    <d v="2025-06-22T15:59:23"/>
    <n v="4"/>
    <x v="1"/>
    <x v="1"/>
    <x v="2"/>
    <x v="0"/>
    <n v="13000"/>
    <n v="52000"/>
    <n v="3500"/>
    <n v="55500"/>
    <s v="Yokohama"/>
  </r>
  <r>
    <x v="237"/>
    <x v="55"/>
    <x v="237"/>
    <d v="2025-06-22T17:50:44"/>
    <d v="2025-06-29T17:50:44"/>
    <n v="7"/>
    <x v="1"/>
    <x v="1"/>
    <x v="2"/>
    <x v="0"/>
    <n v="12000"/>
    <n v="84000"/>
    <n v="5500"/>
    <n v="89500"/>
    <s v="Yokohama"/>
  </r>
  <r>
    <x v="238"/>
    <x v="125"/>
    <x v="238"/>
    <d v="2025-06-14T18:08:04"/>
    <d v="2025-06-15T18:08:04"/>
    <n v="1"/>
    <x v="2"/>
    <x v="1"/>
    <x v="1"/>
    <x v="0"/>
    <n v="17000"/>
    <n v="17000"/>
    <n v="6000"/>
    <n v="23000"/>
    <s v="Nagoya"/>
  </r>
  <r>
    <x v="239"/>
    <x v="91"/>
    <x v="239"/>
    <d v="2025-06-26T21:35:11"/>
    <d v="2025-06-28T21:35:11"/>
    <n v="2"/>
    <x v="2"/>
    <x v="1"/>
    <x v="0"/>
    <x v="0"/>
    <n v="18000"/>
    <n v="36000"/>
    <n v="5000"/>
    <n v="41000"/>
    <s v="Chiba"/>
  </r>
  <r>
    <x v="240"/>
    <x v="133"/>
    <x v="240"/>
    <d v="2025-06-16T02:23:03"/>
    <d v="2025-06-18T02:23:03"/>
    <n v="2"/>
    <x v="1"/>
    <x v="1"/>
    <x v="0"/>
    <x v="1"/>
    <n v="12000"/>
    <n v="24000"/>
    <n v="11500"/>
    <n v="35500"/>
    <s v="Nagoya"/>
  </r>
  <r>
    <x v="241"/>
    <x v="127"/>
    <x v="241"/>
    <d v="2025-06-15T12:08:57"/>
    <d v="2025-06-22T12:08:57"/>
    <n v="7"/>
    <x v="2"/>
    <x v="1"/>
    <x v="1"/>
    <x v="3"/>
    <n v="18000"/>
    <n v="126000"/>
    <n v="0"/>
    <n v="126000"/>
    <s v="Saitama"/>
  </r>
  <r>
    <x v="242"/>
    <x v="174"/>
    <x v="242"/>
    <d v="2025-06-11T02:24:00"/>
    <d v="2025-06-13T02:24:00"/>
    <n v="2"/>
    <x v="2"/>
    <x v="1"/>
    <x v="0"/>
    <x v="0"/>
    <n v="18000"/>
    <n v="36000"/>
    <n v="13500"/>
    <n v="49500"/>
    <s v="Tokyo"/>
  </r>
  <r>
    <x v="243"/>
    <x v="59"/>
    <x v="243"/>
    <d v="2025-06-12T06:07:00"/>
    <d v="2025-06-17T06:07:00"/>
    <n v="5"/>
    <x v="0"/>
    <x v="1"/>
    <x v="0"/>
    <x v="1"/>
    <n v="30000"/>
    <n v="150000"/>
    <n v="6500"/>
    <n v="156500"/>
    <s v="Osaka"/>
  </r>
  <r>
    <x v="244"/>
    <x v="175"/>
    <x v="244"/>
    <d v="2025-06-23T09:12:34"/>
    <d v="2025-06-26T09:12:34"/>
    <n v="3"/>
    <x v="2"/>
    <x v="1"/>
    <x v="1"/>
    <x v="2"/>
    <n v="18000"/>
    <n v="54000"/>
    <n v="5500"/>
    <n v="59500"/>
    <s v="Yokohama"/>
  </r>
  <r>
    <x v="245"/>
    <x v="101"/>
    <x v="245"/>
    <d v="2025-06-28T06:41:02"/>
    <d v="2025-07-03T06:41:02"/>
    <n v="5"/>
    <x v="2"/>
    <x v="0"/>
    <x v="1"/>
    <x v="3"/>
    <n v="19000"/>
    <n v="95000"/>
    <n v="9000"/>
    <n v="104000"/>
    <s v="Osaka"/>
  </r>
  <r>
    <x v="246"/>
    <x v="176"/>
    <x v="246"/>
    <d v="2025-06-26T16:23:44"/>
    <d v="2025-06-30T16:23:44"/>
    <n v="4"/>
    <x v="2"/>
    <x v="0"/>
    <x v="0"/>
    <x v="0"/>
    <n v="19000"/>
    <n v="76000"/>
    <n v="6500"/>
    <n v="82500"/>
    <s v="Yokohama"/>
  </r>
  <r>
    <x v="247"/>
    <x v="32"/>
    <x v="247"/>
    <d v="2025-07-10T09:00:47"/>
    <d v="2025-07-12T09:00:47"/>
    <n v="2"/>
    <x v="1"/>
    <x v="1"/>
    <x v="1"/>
    <x v="1"/>
    <n v="11000"/>
    <n v="22000"/>
    <n v="6500"/>
    <n v="28500"/>
    <s v="Chiba"/>
  </r>
  <r>
    <x v="248"/>
    <x v="33"/>
    <x v="248"/>
    <d v="2025-07-05T00:02:42"/>
    <d v="2025-07-08T00:02:42"/>
    <n v="3"/>
    <x v="0"/>
    <x v="1"/>
    <x v="1"/>
    <x v="0"/>
    <n v="29000"/>
    <n v="87000"/>
    <n v="9500"/>
    <n v="96500"/>
    <s v="Osaka"/>
  </r>
  <r>
    <x v="249"/>
    <x v="88"/>
    <x v="249"/>
    <d v="2025-06-22T03:59:04"/>
    <d v="2025-06-26T03:59:04"/>
    <n v="4"/>
    <x v="1"/>
    <x v="0"/>
    <x v="1"/>
    <x v="0"/>
    <n v="13000"/>
    <n v="52000"/>
    <n v="3000"/>
    <n v="55000"/>
    <s v="Tokyo"/>
  </r>
  <r>
    <x v="250"/>
    <x v="21"/>
    <x v="250"/>
    <d v="2025-07-15T03:30:44"/>
    <d v="2025-07-18T03:30:44"/>
    <n v="3"/>
    <x v="1"/>
    <x v="0"/>
    <x v="1"/>
    <x v="0"/>
    <n v="11000"/>
    <n v="33000"/>
    <n v="6000"/>
    <n v="39000"/>
    <s v="Nagoya"/>
  </r>
  <r>
    <x v="251"/>
    <x v="177"/>
    <x v="251"/>
    <d v="2025-06-30T22:19:47"/>
    <d v="2025-07-01T22:19:47"/>
    <n v="1"/>
    <x v="2"/>
    <x v="1"/>
    <x v="1"/>
    <x v="1"/>
    <n v="17000"/>
    <n v="17000"/>
    <n v="12500"/>
    <n v="29500"/>
    <s v="Saitama"/>
  </r>
  <r>
    <x v="252"/>
    <x v="74"/>
    <x v="252"/>
    <d v="2025-06-21T16:10:58"/>
    <d v="2025-06-23T16:10:58"/>
    <n v="2"/>
    <x v="2"/>
    <x v="1"/>
    <x v="0"/>
    <x v="0"/>
    <n v="17000"/>
    <n v="34000"/>
    <n v="4500"/>
    <n v="38500"/>
    <s v="Chiba"/>
  </r>
  <r>
    <x v="253"/>
    <x v="119"/>
    <x v="253"/>
    <d v="2025-07-15T20:57:49"/>
    <d v="2025-07-17T20:57:49"/>
    <n v="2"/>
    <x v="1"/>
    <x v="1"/>
    <x v="1"/>
    <x v="3"/>
    <n v="13000"/>
    <n v="26000"/>
    <n v="3000"/>
    <n v="29000"/>
    <s v="Tokyo"/>
  </r>
  <r>
    <x v="254"/>
    <x v="166"/>
    <x v="254"/>
    <d v="2025-07-07T22:08:36"/>
    <d v="2025-07-13T22:08:36"/>
    <n v="6"/>
    <x v="2"/>
    <x v="0"/>
    <x v="0"/>
    <x v="0"/>
    <n v="18000"/>
    <n v="108000"/>
    <n v="3500"/>
    <n v="111500"/>
    <s v="Saitama"/>
  </r>
  <r>
    <x v="255"/>
    <x v="178"/>
    <x v="255"/>
    <d v="2025-06-30T00:15:21"/>
    <d v="2025-07-05T00:15:21"/>
    <n v="5"/>
    <x v="2"/>
    <x v="1"/>
    <x v="0"/>
    <x v="0"/>
    <n v="18000"/>
    <n v="90000"/>
    <n v="12500"/>
    <n v="102500"/>
    <s v="Nagoya"/>
  </r>
  <r>
    <x v="256"/>
    <x v="179"/>
    <x v="256"/>
    <d v="2025-07-13T10:03:44"/>
    <d v="2025-07-16T10:03:44"/>
    <n v="3"/>
    <x v="1"/>
    <x v="1"/>
    <x v="1"/>
    <x v="3"/>
    <n v="12000"/>
    <n v="36000"/>
    <n v="5500"/>
    <n v="41500"/>
    <s v="Tokyo"/>
  </r>
  <r>
    <x v="257"/>
    <x v="76"/>
    <x v="257"/>
    <d v="2025-06-26T17:32:48"/>
    <d v="2025-06-28T17:32:48"/>
    <n v="2"/>
    <x v="1"/>
    <x v="1"/>
    <x v="1"/>
    <x v="0"/>
    <n v="12000"/>
    <n v="24000"/>
    <n v="11500"/>
    <n v="35500"/>
    <s v="Osaka"/>
  </r>
  <r>
    <x v="258"/>
    <x v="180"/>
    <x v="258"/>
    <d v="2025-07-16T06:08:30"/>
    <d v="2025-07-17T06:08:30"/>
    <n v="1"/>
    <x v="1"/>
    <x v="0"/>
    <x v="0"/>
    <x v="1"/>
    <n v="13000"/>
    <n v="13000"/>
    <n v="13000"/>
    <n v="26000"/>
    <s v="Tokyo"/>
  </r>
  <r>
    <x v="259"/>
    <x v="181"/>
    <x v="259"/>
    <d v="2025-07-22T11:57:21"/>
    <d v="2025-07-24T11:57:21"/>
    <n v="2"/>
    <x v="1"/>
    <x v="0"/>
    <x v="1"/>
    <x v="2"/>
    <n v="13000"/>
    <n v="26000"/>
    <n v="11000"/>
    <n v="37000"/>
    <s v="Nagoya"/>
  </r>
  <r>
    <x v="260"/>
    <x v="182"/>
    <x v="260"/>
    <d v="2025-07-01T03:56:46"/>
    <d v="2025-07-03T03:56:46"/>
    <n v="2"/>
    <x v="2"/>
    <x v="0"/>
    <x v="1"/>
    <x v="0"/>
    <n v="17000"/>
    <n v="34000"/>
    <n v="3000"/>
    <n v="37000"/>
    <s v="Yokohama"/>
  </r>
  <r>
    <x v="261"/>
    <x v="183"/>
    <x v="261"/>
    <d v="2025-07-11T04:39:00"/>
    <d v="2025-07-14T04:39:00"/>
    <n v="3"/>
    <x v="1"/>
    <x v="0"/>
    <x v="0"/>
    <x v="0"/>
    <n v="12000"/>
    <n v="36000"/>
    <n v="3500"/>
    <n v="39500"/>
    <s v="Nagoya"/>
  </r>
  <r>
    <x v="262"/>
    <x v="184"/>
    <x v="262"/>
    <d v="2025-06-24T17:58:52"/>
    <d v="2025-07-01T17:58:52"/>
    <n v="7"/>
    <x v="2"/>
    <x v="1"/>
    <x v="2"/>
    <x v="0"/>
    <n v="17000"/>
    <n v="119000"/>
    <n v="5500"/>
    <n v="124500"/>
    <s v="Osaka"/>
  </r>
  <r>
    <x v="263"/>
    <x v="72"/>
    <x v="263"/>
    <d v="2025-07-13T09:09:54"/>
    <d v="2025-07-19T09:09:54"/>
    <n v="6"/>
    <x v="1"/>
    <x v="0"/>
    <x v="1"/>
    <x v="1"/>
    <n v="13000"/>
    <n v="78000"/>
    <n v="7500"/>
    <n v="85500"/>
    <s v="Osaka"/>
  </r>
  <r>
    <x v="264"/>
    <x v="185"/>
    <x v="264"/>
    <d v="2025-07-09T00:45:00"/>
    <d v="2025-07-15T00:45:00"/>
    <n v="6"/>
    <x v="1"/>
    <x v="1"/>
    <x v="1"/>
    <x v="0"/>
    <n v="12000"/>
    <n v="72000"/>
    <n v="5500"/>
    <n v="77500"/>
    <s v="Chiba"/>
  </r>
  <r>
    <x v="265"/>
    <x v="186"/>
    <x v="265"/>
    <d v="2025-07-20T22:01:09"/>
    <d v="2025-07-23T22:01:09"/>
    <n v="3"/>
    <x v="1"/>
    <x v="1"/>
    <x v="0"/>
    <x v="1"/>
    <n v="13000"/>
    <n v="39000"/>
    <n v="3000"/>
    <n v="42000"/>
    <s v="Osaka"/>
  </r>
  <r>
    <x v="266"/>
    <x v="187"/>
    <x v="266"/>
    <d v="2025-07-05T13:44:13"/>
    <d v="2025-07-10T13:44:13"/>
    <n v="5"/>
    <x v="1"/>
    <x v="0"/>
    <x v="2"/>
    <x v="0"/>
    <n v="12000"/>
    <n v="60000"/>
    <n v="6500"/>
    <n v="66500"/>
    <s v="Osaka"/>
  </r>
  <r>
    <x v="267"/>
    <x v="37"/>
    <x v="267"/>
    <d v="2025-07-17T20:39:33"/>
    <d v="2025-07-20T20:39:33"/>
    <n v="3"/>
    <x v="0"/>
    <x v="0"/>
    <x v="1"/>
    <x v="0"/>
    <n v="31000"/>
    <n v="93000"/>
    <n v="9000"/>
    <n v="102000"/>
    <s v="Tokyo"/>
  </r>
  <r>
    <x v="268"/>
    <x v="89"/>
    <x v="268"/>
    <d v="2025-07-18T20:43:04"/>
    <d v="2025-07-20T20:43:04"/>
    <n v="2"/>
    <x v="1"/>
    <x v="1"/>
    <x v="0"/>
    <x v="2"/>
    <n v="11000"/>
    <n v="22000"/>
    <n v="8000"/>
    <n v="30000"/>
    <s v="Nagoya"/>
  </r>
  <r>
    <x v="269"/>
    <x v="82"/>
    <x v="269"/>
    <d v="2025-07-29T15:34:06"/>
    <d v="2025-07-31T15:34:06"/>
    <n v="2"/>
    <x v="1"/>
    <x v="0"/>
    <x v="1"/>
    <x v="3"/>
    <n v="12000"/>
    <n v="24000"/>
    <n v="3500"/>
    <n v="27500"/>
    <s v="Chiba"/>
  </r>
  <r>
    <x v="270"/>
    <x v="91"/>
    <x v="270"/>
    <d v="2025-07-18T03:18:24"/>
    <d v="2025-07-25T03:18:24"/>
    <n v="7"/>
    <x v="1"/>
    <x v="1"/>
    <x v="1"/>
    <x v="2"/>
    <n v="12000"/>
    <n v="84000"/>
    <n v="2500"/>
    <n v="86500"/>
    <s v="Chiba"/>
  </r>
  <r>
    <x v="271"/>
    <x v="74"/>
    <x v="271"/>
    <d v="2025-07-26T12:33:15"/>
    <d v="2025-07-30T12:33:15"/>
    <n v="4"/>
    <x v="1"/>
    <x v="0"/>
    <x v="1"/>
    <x v="1"/>
    <n v="11000"/>
    <n v="44000"/>
    <n v="7500"/>
    <n v="51500"/>
    <s v="Nagoya"/>
  </r>
  <r>
    <x v="272"/>
    <x v="188"/>
    <x v="272"/>
    <d v="2025-07-17T02:36:49"/>
    <d v="2025-07-20T02:36:49"/>
    <n v="3"/>
    <x v="2"/>
    <x v="1"/>
    <x v="2"/>
    <x v="3"/>
    <n v="17000"/>
    <n v="51000"/>
    <n v="5000"/>
    <n v="56000"/>
    <s v="Chiba"/>
  </r>
  <r>
    <x v="273"/>
    <x v="189"/>
    <x v="273"/>
    <d v="2025-07-07T17:30:03"/>
    <d v="2025-07-13T17:30:03"/>
    <n v="6"/>
    <x v="2"/>
    <x v="1"/>
    <x v="2"/>
    <x v="3"/>
    <n v="19000"/>
    <n v="114000"/>
    <n v="10500"/>
    <n v="124500"/>
    <s v="Yokohama"/>
  </r>
  <r>
    <x v="274"/>
    <x v="3"/>
    <x v="274"/>
    <d v="2025-07-30T01:00:28"/>
    <d v="2025-08-02T01:00:28"/>
    <n v="3"/>
    <x v="2"/>
    <x v="0"/>
    <x v="1"/>
    <x v="2"/>
    <n v="19000"/>
    <n v="57000"/>
    <n v="8000"/>
    <n v="65000"/>
    <s v="Osaka"/>
  </r>
  <r>
    <x v="275"/>
    <x v="190"/>
    <x v="275"/>
    <d v="2025-08-01T20:02:17"/>
    <d v="2025-08-08T20:02:17"/>
    <n v="7"/>
    <x v="1"/>
    <x v="1"/>
    <x v="1"/>
    <x v="1"/>
    <n v="11000"/>
    <n v="77000"/>
    <n v="9500"/>
    <n v="86500"/>
    <s v="Chiba"/>
  </r>
  <r>
    <x v="276"/>
    <x v="191"/>
    <x v="276"/>
    <d v="2025-07-12T09:30:36"/>
    <d v="2025-07-13T09:30:36"/>
    <n v="1"/>
    <x v="2"/>
    <x v="1"/>
    <x v="2"/>
    <x v="3"/>
    <n v="17000"/>
    <n v="17000"/>
    <n v="7000"/>
    <n v="24000"/>
    <s v="Nagoya"/>
  </r>
  <r>
    <x v="277"/>
    <x v="192"/>
    <x v="277"/>
    <d v="2025-08-03T18:15:17"/>
    <d v="2025-08-08T18:15:17"/>
    <n v="5"/>
    <x v="2"/>
    <x v="0"/>
    <x v="1"/>
    <x v="3"/>
    <n v="19000"/>
    <n v="95000"/>
    <n v="4500"/>
    <n v="99500"/>
    <s v="Nagoya"/>
  </r>
  <r>
    <x v="278"/>
    <x v="106"/>
    <x v="278"/>
    <d v="2025-07-13T17:11:47"/>
    <d v="2025-07-15T17:11:47"/>
    <n v="2"/>
    <x v="1"/>
    <x v="1"/>
    <x v="1"/>
    <x v="3"/>
    <n v="13000"/>
    <n v="26000"/>
    <n v="6000"/>
    <n v="32000"/>
    <s v="Yokohama"/>
  </r>
  <r>
    <x v="279"/>
    <x v="193"/>
    <x v="279"/>
    <d v="2025-07-10T02:27:25"/>
    <d v="2025-07-16T02:27:25"/>
    <n v="6"/>
    <x v="2"/>
    <x v="1"/>
    <x v="1"/>
    <x v="0"/>
    <n v="17000"/>
    <n v="102000"/>
    <n v="4000"/>
    <n v="106000"/>
    <s v="Nagoya"/>
  </r>
  <r>
    <x v="280"/>
    <x v="141"/>
    <x v="280"/>
    <d v="2025-07-20T08:00:48"/>
    <d v="2025-07-26T08:00:48"/>
    <n v="6"/>
    <x v="1"/>
    <x v="0"/>
    <x v="2"/>
    <x v="1"/>
    <n v="13000"/>
    <n v="78000"/>
    <n v="9000"/>
    <n v="87000"/>
    <s v="Chiba"/>
  </r>
  <r>
    <x v="281"/>
    <x v="194"/>
    <x v="281"/>
    <d v="2025-08-03T02:03:24"/>
    <d v="2025-08-08T02:03:24"/>
    <n v="5"/>
    <x v="2"/>
    <x v="1"/>
    <x v="1"/>
    <x v="2"/>
    <n v="17000"/>
    <n v="85000"/>
    <n v="0"/>
    <n v="85000"/>
    <s v="Chiba"/>
  </r>
  <r>
    <x v="282"/>
    <x v="195"/>
    <x v="282"/>
    <d v="2025-07-23T06:37:05"/>
    <d v="2025-07-25T06:37:05"/>
    <n v="2"/>
    <x v="1"/>
    <x v="1"/>
    <x v="0"/>
    <x v="3"/>
    <n v="13000"/>
    <n v="26000"/>
    <n v="13500"/>
    <n v="39500"/>
    <s v="Yokohama"/>
  </r>
  <r>
    <x v="283"/>
    <x v="196"/>
    <x v="283"/>
    <d v="2025-07-19T05:05:43"/>
    <d v="2025-07-23T05:05:43"/>
    <n v="4"/>
    <x v="0"/>
    <x v="1"/>
    <x v="1"/>
    <x v="0"/>
    <n v="31000"/>
    <n v="124000"/>
    <n v="5500"/>
    <n v="129500"/>
    <s v="Nagoya"/>
  </r>
  <r>
    <x v="284"/>
    <x v="113"/>
    <x v="284"/>
    <d v="2025-08-04T11:32:33"/>
    <d v="2025-08-07T11:32:33"/>
    <n v="3"/>
    <x v="1"/>
    <x v="1"/>
    <x v="1"/>
    <x v="3"/>
    <n v="11000"/>
    <n v="33000"/>
    <n v="6500"/>
    <n v="39500"/>
    <s v="Tokyo"/>
  </r>
  <r>
    <x v="285"/>
    <x v="191"/>
    <x v="285"/>
    <d v="2025-07-14T02:40:55"/>
    <d v="2025-07-21T02:40:55"/>
    <n v="7"/>
    <x v="2"/>
    <x v="1"/>
    <x v="1"/>
    <x v="2"/>
    <n v="17000"/>
    <n v="119000"/>
    <n v="6000"/>
    <n v="125000"/>
    <s v="Yokohama"/>
  </r>
  <r>
    <x v="286"/>
    <x v="60"/>
    <x v="286"/>
    <d v="2025-07-15T09:10:30"/>
    <d v="2025-07-22T09:10:30"/>
    <n v="7"/>
    <x v="1"/>
    <x v="0"/>
    <x v="2"/>
    <x v="0"/>
    <n v="13000"/>
    <n v="91000"/>
    <n v="11500"/>
    <n v="102500"/>
    <s v="Chiba"/>
  </r>
  <r>
    <x v="287"/>
    <x v="157"/>
    <x v="287"/>
    <d v="2025-08-07T18:01:36"/>
    <d v="2025-08-10T18:01:36"/>
    <n v="3"/>
    <x v="0"/>
    <x v="0"/>
    <x v="1"/>
    <x v="0"/>
    <n v="30000"/>
    <n v="90000"/>
    <n v="6500"/>
    <n v="96500"/>
    <s v="Chiba"/>
  </r>
  <r>
    <x v="288"/>
    <x v="49"/>
    <x v="288"/>
    <d v="2025-08-07T22:32:02"/>
    <d v="2025-08-14T22:32:02"/>
    <n v="7"/>
    <x v="0"/>
    <x v="1"/>
    <x v="1"/>
    <x v="2"/>
    <n v="29000"/>
    <n v="203000"/>
    <n v="0"/>
    <n v="203000"/>
    <s v="Tokyo"/>
  </r>
  <r>
    <x v="289"/>
    <x v="10"/>
    <x v="289"/>
    <d v="2025-07-30T03:03:09"/>
    <d v="2025-08-03T03:03:09"/>
    <n v="4"/>
    <x v="2"/>
    <x v="0"/>
    <x v="0"/>
    <x v="1"/>
    <n v="19000"/>
    <n v="76000"/>
    <n v="8000"/>
    <n v="84000"/>
    <s v="Saitama"/>
  </r>
  <r>
    <x v="290"/>
    <x v="186"/>
    <x v="290"/>
    <d v="2025-08-11T08:09:13"/>
    <d v="2025-08-14T08:09:13"/>
    <n v="3"/>
    <x v="1"/>
    <x v="1"/>
    <x v="1"/>
    <x v="2"/>
    <n v="13000"/>
    <n v="39000"/>
    <n v="4500"/>
    <n v="43500"/>
    <s v="Nagoya"/>
  </r>
  <r>
    <x v="291"/>
    <x v="197"/>
    <x v="291"/>
    <d v="2025-07-20T20:41:28"/>
    <d v="2025-07-24T20:41:28"/>
    <n v="4"/>
    <x v="2"/>
    <x v="1"/>
    <x v="1"/>
    <x v="0"/>
    <n v="18000"/>
    <n v="72000"/>
    <n v="11000"/>
    <n v="83000"/>
    <s v="Tokyo"/>
  </r>
  <r>
    <x v="292"/>
    <x v="124"/>
    <x v="292"/>
    <d v="2025-07-22T01:14:00"/>
    <d v="2025-07-25T01:14:00"/>
    <n v="3"/>
    <x v="0"/>
    <x v="1"/>
    <x v="0"/>
    <x v="3"/>
    <n v="29000"/>
    <n v="87000"/>
    <n v="3000"/>
    <n v="90000"/>
    <s v="Saitama"/>
  </r>
  <r>
    <x v="293"/>
    <x v="55"/>
    <x v="293"/>
    <d v="2025-07-29T03:51:28"/>
    <d v="2025-08-01T03:51:28"/>
    <n v="3"/>
    <x v="2"/>
    <x v="0"/>
    <x v="0"/>
    <x v="2"/>
    <n v="17000"/>
    <n v="51000"/>
    <n v="9500"/>
    <n v="60500"/>
    <s v="Yokohama"/>
  </r>
  <r>
    <x v="294"/>
    <x v="198"/>
    <x v="294"/>
    <d v="2025-08-12T17:03:33"/>
    <d v="2025-08-17T17:03:33"/>
    <n v="5"/>
    <x v="0"/>
    <x v="1"/>
    <x v="2"/>
    <x v="0"/>
    <n v="30000"/>
    <n v="150000"/>
    <n v="4500"/>
    <n v="154500"/>
    <s v="Saitama"/>
  </r>
  <r>
    <x v="295"/>
    <x v="199"/>
    <x v="295"/>
    <d v="2025-07-16T21:08:49"/>
    <d v="2025-07-19T21:08:49"/>
    <n v="3"/>
    <x v="2"/>
    <x v="0"/>
    <x v="2"/>
    <x v="0"/>
    <n v="19000"/>
    <n v="57000"/>
    <n v="5000"/>
    <n v="62000"/>
    <s v="Nagoya"/>
  </r>
  <r>
    <x v="296"/>
    <x v="181"/>
    <x v="296"/>
    <d v="2025-07-31T23:59:40"/>
    <d v="2025-08-06T23:59:40"/>
    <n v="6"/>
    <x v="0"/>
    <x v="1"/>
    <x v="2"/>
    <x v="0"/>
    <n v="30000"/>
    <n v="180000"/>
    <n v="4500"/>
    <n v="184500"/>
    <s v="Tokyo"/>
  </r>
  <r>
    <x v="297"/>
    <x v="117"/>
    <x v="297"/>
    <d v="2025-07-18T00:59:51"/>
    <d v="2025-07-20T00:59:51"/>
    <n v="2"/>
    <x v="1"/>
    <x v="1"/>
    <x v="1"/>
    <x v="0"/>
    <n v="11000"/>
    <n v="22000"/>
    <n v="4500"/>
    <n v="26500"/>
    <s v="Yokohama"/>
  </r>
  <r>
    <x v="298"/>
    <x v="200"/>
    <x v="298"/>
    <d v="2025-08-01T20:32:33"/>
    <d v="2025-08-04T20:32:33"/>
    <n v="3"/>
    <x v="0"/>
    <x v="1"/>
    <x v="0"/>
    <x v="1"/>
    <n v="31000"/>
    <n v="93000"/>
    <n v="3000"/>
    <n v="96000"/>
    <s v="Tokyo"/>
  </r>
  <r>
    <x v="299"/>
    <x v="78"/>
    <x v="299"/>
    <d v="2025-08-17T18:08:16"/>
    <d v="2025-08-22T18:08:16"/>
    <n v="5"/>
    <x v="0"/>
    <x v="1"/>
    <x v="1"/>
    <x v="1"/>
    <n v="30000"/>
    <n v="150000"/>
    <n v="5000"/>
    <n v="155000"/>
    <s v="Yokohama"/>
  </r>
  <r>
    <x v="300"/>
    <x v="162"/>
    <x v="300"/>
    <d v="2025-07-22T08:34:12"/>
    <d v="2025-07-24T08:34:12"/>
    <n v="2"/>
    <x v="1"/>
    <x v="1"/>
    <x v="1"/>
    <x v="0"/>
    <n v="12000"/>
    <n v="24000"/>
    <n v="9000"/>
    <n v="33000"/>
    <s v="Chiba"/>
  </r>
  <r>
    <x v="301"/>
    <x v="62"/>
    <x v="301"/>
    <d v="2025-08-18T20:08:14"/>
    <d v="2025-08-19T20:08:14"/>
    <n v="1"/>
    <x v="2"/>
    <x v="1"/>
    <x v="1"/>
    <x v="2"/>
    <n v="17000"/>
    <n v="17000"/>
    <n v="5500"/>
    <n v="22500"/>
    <s v="Osaka"/>
  </r>
  <r>
    <x v="302"/>
    <x v="201"/>
    <x v="302"/>
    <d v="2025-08-05T07:05:10"/>
    <d v="2025-08-07T07:05:10"/>
    <n v="2"/>
    <x v="0"/>
    <x v="1"/>
    <x v="1"/>
    <x v="2"/>
    <n v="30000"/>
    <n v="60000"/>
    <n v="1500"/>
    <n v="61500"/>
    <s v="Saitama"/>
  </r>
  <r>
    <x v="303"/>
    <x v="202"/>
    <x v="303"/>
    <d v="2025-08-11T16:24:28"/>
    <d v="2025-08-18T16:24:28"/>
    <n v="7"/>
    <x v="1"/>
    <x v="1"/>
    <x v="1"/>
    <x v="0"/>
    <n v="13000"/>
    <n v="91000"/>
    <n v="9000"/>
    <n v="100000"/>
    <s v="Saitama"/>
  </r>
  <r>
    <x v="304"/>
    <x v="86"/>
    <x v="304"/>
    <d v="2025-07-26T22:38:59"/>
    <d v="2025-07-28T22:38:59"/>
    <n v="2"/>
    <x v="2"/>
    <x v="1"/>
    <x v="0"/>
    <x v="2"/>
    <n v="17000"/>
    <n v="34000"/>
    <n v="9500"/>
    <n v="43500"/>
    <s v="Saitama"/>
  </r>
  <r>
    <x v="305"/>
    <x v="203"/>
    <x v="305"/>
    <d v="2025-08-22T13:52:16"/>
    <d v="2025-08-24T13:52:16"/>
    <n v="2"/>
    <x v="1"/>
    <x v="1"/>
    <x v="1"/>
    <x v="3"/>
    <n v="11000"/>
    <n v="22000"/>
    <n v="9500"/>
    <n v="31500"/>
    <s v="Tokyo"/>
  </r>
  <r>
    <x v="306"/>
    <x v="204"/>
    <x v="306"/>
    <d v="2025-08-22T05:04:34"/>
    <d v="2025-08-29T05:04:34"/>
    <n v="7"/>
    <x v="2"/>
    <x v="0"/>
    <x v="1"/>
    <x v="2"/>
    <n v="17000"/>
    <n v="119000"/>
    <n v="0"/>
    <n v="119000"/>
    <s v="Yokohama"/>
  </r>
  <r>
    <x v="307"/>
    <x v="205"/>
    <x v="307"/>
    <d v="2025-08-15T18:22:37"/>
    <d v="2025-08-20T18:22:37"/>
    <n v="5"/>
    <x v="0"/>
    <x v="1"/>
    <x v="2"/>
    <x v="0"/>
    <n v="31000"/>
    <n v="155000"/>
    <n v="9500"/>
    <n v="164500"/>
    <s v="Chiba"/>
  </r>
  <r>
    <x v="308"/>
    <x v="116"/>
    <x v="308"/>
    <d v="2025-08-22T00:46:45"/>
    <d v="2025-08-27T00:46:45"/>
    <n v="5"/>
    <x v="1"/>
    <x v="1"/>
    <x v="1"/>
    <x v="2"/>
    <n v="13000"/>
    <n v="65000"/>
    <n v="7500"/>
    <n v="72500"/>
    <s v="Tokyo"/>
  </r>
  <r>
    <x v="309"/>
    <x v="79"/>
    <x v="309"/>
    <d v="2025-08-03T19:34:25"/>
    <d v="2025-08-05T19:34:25"/>
    <n v="2"/>
    <x v="0"/>
    <x v="1"/>
    <x v="2"/>
    <x v="2"/>
    <n v="29000"/>
    <n v="58000"/>
    <n v="3500"/>
    <n v="61500"/>
    <s v="Yokohama"/>
  </r>
  <r>
    <x v="310"/>
    <x v="43"/>
    <x v="310"/>
    <d v="2025-08-25T22:01:43"/>
    <d v="2025-08-27T22:01:43"/>
    <n v="2"/>
    <x v="1"/>
    <x v="0"/>
    <x v="1"/>
    <x v="3"/>
    <n v="11000"/>
    <n v="22000"/>
    <n v="7000"/>
    <n v="29000"/>
    <s v="Chiba"/>
  </r>
  <r>
    <x v="311"/>
    <x v="22"/>
    <x v="311"/>
    <d v="2025-08-19T04:28:52"/>
    <d v="2025-08-22T04:28:52"/>
    <n v="3"/>
    <x v="1"/>
    <x v="1"/>
    <x v="1"/>
    <x v="0"/>
    <n v="13000"/>
    <n v="39000"/>
    <n v="6500"/>
    <n v="45500"/>
    <s v="Yokohama"/>
  </r>
  <r>
    <x v="312"/>
    <x v="178"/>
    <x v="312"/>
    <d v="2025-08-25T11:58:19"/>
    <d v="2025-08-31T11:58:19"/>
    <n v="6"/>
    <x v="2"/>
    <x v="0"/>
    <x v="1"/>
    <x v="3"/>
    <n v="19000"/>
    <n v="114000"/>
    <n v="15000"/>
    <n v="129000"/>
    <s v="Chiba"/>
  </r>
  <r>
    <x v="313"/>
    <x v="206"/>
    <x v="313"/>
    <d v="2025-08-10T14:26:53"/>
    <d v="2025-08-16T14:26:53"/>
    <n v="6"/>
    <x v="2"/>
    <x v="1"/>
    <x v="2"/>
    <x v="2"/>
    <n v="19000"/>
    <n v="114000"/>
    <n v="10000"/>
    <n v="124000"/>
    <s v="Chiba"/>
  </r>
  <r>
    <x v="314"/>
    <x v="207"/>
    <x v="314"/>
    <d v="2025-08-04T20:10:54"/>
    <d v="2025-08-08T20:10:54"/>
    <n v="4"/>
    <x v="1"/>
    <x v="1"/>
    <x v="1"/>
    <x v="3"/>
    <n v="13000"/>
    <n v="52000"/>
    <n v="1500"/>
    <n v="53500"/>
    <s v="Tokyo"/>
  </r>
  <r>
    <x v="315"/>
    <x v="208"/>
    <x v="315"/>
    <d v="2025-07-31T20:52:27"/>
    <d v="2025-08-04T20:52:27"/>
    <n v="4"/>
    <x v="2"/>
    <x v="1"/>
    <x v="1"/>
    <x v="2"/>
    <n v="18000"/>
    <n v="72000"/>
    <n v="1500"/>
    <n v="73500"/>
    <s v="Chiba"/>
  </r>
  <r>
    <x v="316"/>
    <x v="203"/>
    <x v="316"/>
    <d v="2025-08-11T22:40:53"/>
    <d v="2025-08-18T22:40:53"/>
    <n v="7"/>
    <x v="1"/>
    <x v="1"/>
    <x v="1"/>
    <x v="2"/>
    <n v="12000"/>
    <n v="84000"/>
    <n v="4000"/>
    <n v="88000"/>
    <s v="Tokyo"/>
  </r>
  <r>
    <x v="317"/>
    <x v="54"/>
    <x v="317"/>
    <d v="2025-08-14T15:46:23"/>
    <d v="2025-08-20T15:46:23"/>
    <n v="6"/>
    <x v="0"/>
    <x v="1"/>
    <x v="0"/>
    <x v="0"/>
    <n v="31000"/>
    <n v="186000"/>
    <n v="6000"/>
    <n v="192000"/>
    <s v="Tokyo"/>
  </r>
  <r>
    <x v="318"/>
    <x v="54"/>
    <x v="318"/>
    <d v="2025-08-15T20:10:19"/>
    <d v="2025-08-21T20:10:19"/>
    <n v="6"/>
    <x v="1"/>
    <x v="1"/>
    <x v="0"/>
    <x v="0"/>
    <n v="11000"/>
    <n v="66000"/>
    <n v="7500"/>
    <n v="73500"/>
    <s v="Tokyo"/>
  </r>
  <r>
    <x v="319"/>
    <x v="209"/>
    <x v="319"/>
    <d v="2025-08-15T18:06:23"/>
    <d v="2025-08-21T18:06:23"/>
    <n v="6"/>
    <x v="1"/>
    <x v="0"/>
    <x v="1"/>
    <x v="0"/>
    <n v="12000"/>
    <n v="72000"/>
    <n v="9500"/>
    <n v="81500"/>
    <s v="Chiba"/>
  </r>
  <r>
    <x v="320"/>
    <x v="108"/>
    <x v="320"/>
    <d v="2025-08-25T10:00:51"/>
    <d v="2025-08-29T10:00:51"/>
    <n v="4"/>
    <x v="0"/>
    <x v="0"/>
    <x v="0"/>
    <x v="1"/>
    <n v="31000"/>
    <n v="124000"/>
    <n v="9500"/>
    <n v="133500"/>
    <s v="Tokyo"/>
  </r>
  <r>
    <x v="321"/>
    <x v="183"/>
    <x v="321"/>
    <d v="2025-08-14T15:46:48"/>
    <d v="2025-08-18T15:46:48"/>
    <n v="4"/>
    <x v="1"/>
    <x v="0"/>
    <x v="1"/>
    <x v="0"/>
    <n v="11000"/>
    <n v="44000"/>
    <n v="7000"/>
    <n v="51000"/>
    <s v="Chiba"/>
  </r>
  <r>
    <x v="322"/>
    <x v="210"/>
    <x v="322"/>
    <d v="2025-08-11T03:59:07"/>
    <d v="2025-08-12T03:59:07"/>
    <n v="1"/>
    <x v="1"/>
    <x v="1"/>
    <x v="2"/>
    <x v="2"/>
    <n v="12000"/>
    <n v="12000"/>
    <n v="9500"/>
    <n v="21500"/>
    <s v="Tokyo"/>
  </r>
  <r>
    <x v="323"/>
    <x v="211"/>
    <x v="323"/>
    <d v="2025-08-23T00:31:05"/>
    <d v="2025-08-26T00:31:05"/>
    <n v="3"/>
    <x v="2"/>
    <x v="1"/>
    <x v="2"/>
    <x v="3"/>
    <n v="19000"/>
    <n v="57000"/>
    <n v="9000"/>
    <n v="66000"/>
    <s v="Yokohama"/>
  </r>
  <r>
    <x v="324"/>
    <x v="212"/>
    <x v="324"/>
    <d v="2025-09-09T04:15:33"/>
    <d v="2025-09-15T04:15:33"/>
    <n v="6"/>
    <x v="1"/>
    <x v="1"/>
    <x v="1"/>
    <x v="0"/>
    <n v="11000"/>
    <n v="66000"/>
    <n v="8000"/>
    <n v="74000"/>
    <s v="Nagoya"/>
  </r>
  <r>
    <x v="325"/>
    <x v="213"/>
    <x v="325"/>
    <d v="2025-08-31T19:28:48"/>
    <d v="2025-09-06T19:28:48"/>
    <n v="6"/>
    <x v="2"/>
    <x v="1"/>
    <x v="1"/>
    <x v="1"/>
    <n v="17000"/>
    <n v="102000"/>
    <n v="8000"/>
    <n v="110000"/>
    <s v="Chiba"/>
  </r>
  <r>
    <x v="326"/>
    <x v="85"/>
    <x v="326"/>
    <d v="2025-08-16T01:41:37"/>
    <d v="2025-08-17T01:41:37"/>
    <n v="1"/>
    <x v="1"/>
    <x v="0"/>
    <x v="2"/>
    <x v="3"/>
    <n v="12000"/>
    <n v="12000"/>
    <n v="8000"/>
    <n v="20000"/>
    <s v="Tokyo"/>
  </r>
  <r>
    <x v="327"/>
    <x v="214"/>
    <x v="327"/>
    <d v="2025-09-11T23:13:55"/>
    <d v="2025-09-14T23:13:55"/>
    <n v="3"/>
    <x v="1"/>
    <x v="0"/>
    <x v="1"/>
    <x v="3"/>
    <n v="11000"/>
    <n v="33000"/>
    <n v="4500"/>
    <n v="37500"/>
    <s v="Yokohama"/>
  </r>
  <r>
    <x v="328"/>
    <x v="215"/>
    <x v="328"/>
    <d v="2025-09-01T14:38:50"/>
    <d v="2025-09-05T14:38:50"/>
    <n v="4"/>
    <x v="1"/>
    <x v="0"/>
    <x v="2"/>
    <x v="0"/>
    <n v="12000"/>
    <n v="48000"/>
    <n v="8000"/>
    <n v="56000"/>
    <s v="Tokyo"/>
  </r>
  <r>
    <x v="329"/>
    <x v="164"/>
    <x v="329"/>
    <d v="2025-08-18T19:51:52"/>
    <d v="2025-08-20T19:51:52"/>
    <n v="2"/>
    <x v="1"/>
    <x v="1"/>
    <x v="1"/>
    <x v="1"/>
    <n v="11000"/>
    <n v="22000"/>
    <n v="5000"/>
    <n v="27000"/>
    <s v="Osaka"/>
  </r>
  <r>
    <x v="330"/>
    <x v="56"/>
    <x v="330"/>
    <d v="2025-08-30T18:20:30"/>
    <d v="2025-08-31T18:20:30"/>
    <n v="1"/>
    <x v="1"/>
    <x v="0"/>
    <x v="1"/>
    <x v="0"/>
    <n v="13000"/>
    <n v="13000"/>
    <n v="8000"/>
    <n v="21000"/>
    <s v="Yokohama"/>
  </r>
  <r>
    <x v="331"/>
    <x v="10"/>
    <x v="331"/>
    <d v="2025-09-02T19:36:14"/>
    <d v="2025-09-06T19:36:14"/>
    <n v="4"/>
    <x v="0"/>
    <x v="0"/>
    <x v="1"/>
    <x v="0"/>
    <n v="30000"/>
    <n v="120000"/>
    <n v="2500"/>
    <n v="122500"/>
    <s v="Yokohama"/>
  </r>
  <r>
    <x v="332"/>
    <x v="107"/>
    <x v="332"/>
    <d v="2025-09-11T00:01:53"/>
    <d v="2025-09-13T00:01:53"/>
    <n v="2"/>
    <x v="1"/>
    <x v="1"/>
    <x v="2"/>
    <x v="2"/>
    <n v="12000"/>
    <n v="24000"/>
    <n v="6000"/>
    <n v="30000"/>
    <s v="Chiba"/>
  </r>
  <r>
    <x v="333"/>
    <x v="98"/>
    <x v="333"/>
    <d v="2025-08-23T06:29:32"/>
    <d v="2025-08-25T06:29:32"/>
    <n v="2"/>
    <x v="2"/>
    <x v="1"/>
    <x v="2"/>
    <x v="2"/>
    <n v="17000"/>
    <n v="34000"/>
    <n v="8000"/>
    <n v="42000"/>
    <s v="Nagoya"/>
  </r>
  <r>
    <x v="334"/>
    <x v="196"/>
    <x v="334"/>
    <d v="2025-09-16T19:56:57"/>
    <d v="2025-09-18T19:56:57"/>
    <n v="2"/>
    <x v="1"/>
    <x v="1"/>
    <x v="0"/>
    <x v="3"/>
    <n v="11000"/>
    <n v="22000"/>
    <n v="14000"/>
    <n v="36000"/>
    <s v="Tokyo"/>
  </r>
  <r>
    <x v="335"/>
    <x v="94"/>
    <x v="335"/>
    <d v="2025-09-04T12:06:05"/>
    <d v="2025-09-09T12:06:05"/>
    <n v="5"/>
    <x v="1"/>
    <x v="0"/>
    <x v="0"/>
    <x v="2"/>
    <n v="13000"/>
    <n v="65000"/>
    <n v="10000"/>
    <n v="75000"/>
    <s v="Saitama"/>
  </r>
  <r>
    <x v="336"/>
    <x v="56"/>
    <x v="336"/>
    <d v="2025-09-15T18:40:33"/>
    <d v="2025-09-18T18:40:33"/>
    <n v="3"/>
    <x v="1"/>
    <x v="0"/>
    <x v="2"/>
    <x v="0"/>
    <n v="12000"/>
    <n v="36000"/>
    <n v="11000"/>
    <n v="47000"/>
    <s v="Saitama"/>
  </r>
  <r>
    <x v="337"/>
    <x v="196"/>
    <x v="337"/>
    <d v="2025-09-04T23:53:33"/>
    <d v="2025-09-10T23:53:33"/>
    <n v="6"/>
    <x v="1"/>
    <x v="0"/>
    <x v="1"/>
    <x v="1"/>
    <n v="12000"/>
    <n v="72000"/>
    <n v="8500"/>
    <n v="80500"/>
    <s v="Saitama"/>
  </r>
  <r>
    <x v="338"/>
    <x v="41"/>
    <x v="338"/>
    <d v="2025-08-31T06:22:47"/>
    <d v="2025-09-03T06:22:47"/>
    <n v="3"/>
    <x v="1"/>
    <x v="0"/>
    <x v="1"/>
    <x v="0"/>
    <n v="13000"/>
    <n v="39000"/>
    <n v="3000"/>
    <n v="42000"/>
    <s v="Chiba"/>
  </r>
  <r>
    <x v="339"/>
    <x v="107"/>
    <x v="339"/>
    <d v="2025-09-07T06:40:58"/>
    <d v="2025-09-11T06:40:58"/>
    <n v="4"/>
    <x v="1"/>
    <x v="0"/>
    <x v="1"/>
    <x v="2"/>
    <n v="13000"/>
    <n v="52000"/>
    <n v="4500"/>
    <n v="56500"/>
    <s v="Yokohama"/>
  </r>
  <r>
    <x v="340"/>
    <x v="216"/>
    <x v="340"/>
    <d v="2025-09-13T07:29:42"/>
    <d v="2025-09-17T07:29:42"/>
    <n v="4"/>
    <x v="2"/>
    <x v="1"/>
    <x v="1"/>
    <x v="0"/>
    <n v="17000"/>
    <n v="68000"/>
    <n v="5000"/>
    <n v="73000"/>
    <s v="Nagoya"/>
  </r>
  <r>
    <x v="341"/>
    <x v="217"/>
    <x v="341"/>
    <d v="2025-09-16T02:19:57"/>
    <d v="2025-09-19T02:19:57"/>
    <n v="3"/>
    <x v="2"/>
    <x v="1"/>
    <x v="1"/>
    <x v="0"/>
    <n v="19000"/>
    <n v="57000"/>
    <n v="12500"/>
    <n v="69500"/>
    <s v="Osaka"/>
  </r>
  <r>
    <x v="342"/>
    <x v="218"/>
    <x v="342"/>
    <d v="2025-08-27T20:05:17"/>
    <d v="2025-08-31T20:05:17"/>
    <n v="4"/>
    <x v="1"/>
    <x v="1"/>
    <x v="2"/>
    <x v="2"/>
    <n v="13000"/>
    <n v="52000"/>
    <n v="10000"/>
    <n v="62000"/>
    <s v="Nagoya"/>
  </r>
  <r>
    <x v="343"/>
    <x v="29"/>
    <x v="343"/>
    <d v="2025-09-04T22:26:32"/>
    <d v="2025-09-06T22:26:32"/>
    <n v="2"/>
    <x v="2"/>
    <x v="0"/>
    <x v="0"/>
    <x v="3"/>
    <n v="19000"/>
    <n v="38000"/>
    <n v="7000"/>
    <n v="45000"/>
    <s v="Nagoya"/>
  </r>
  <r>
    <x v="344"/>
    <x v="164"/>
    <x v="344"/>
    <d v="2025-09-24T01:31:37"/>
    <d v="2025-10-01T01:31:37"/>
    <n v="7"/>
    <x v="1"/>
    <x v="1"/>
    <x v="1"/>
    <x v="0"/>
    <n v="12000"/>
    <n v="84000"/>
    <n v="5000"/>
    <n v="89000"/>
    <s v="Yokohama"/>
  </r>
  <r>
    <x v="345"/>
    <x v="219"/>
    <x v="345"/>
    <d v="2025-09-05T03:06:57"/>
    <d v="2025-09-08T03:06:57"/>
    <n v="3"/>
    <x v="0"/>
    <x v="0"/>
    <x v="2"/>
    <x v="0"/>
    <n v="30000"/>
    <n v="90000"/>
    <n v="5500"/>
    <n v="95500"/>
    <s v="Yokohama"/>
  </r>
  <r>
    <x v="346"/>
    <x v="130"/>
    <x v="346"/>
    <d v="2025-09-26T06:36:44"/>
    <d v="2025-09-28T06:36:44"/>
    <n v="2"/>
    <x v="2"/>
    <x v="0"/>
    <x v="2"/>
    <x v="2"/>
    <n v="17000"/>
    <n v="34000"/>
    <n v="1000"/>
    <n v="35000"/>
    <s v="Tokyo"/>
  </r>
  <r>
    <x v="347"/>
    <x v="43"/>
    <x v="347"/>
    <d v="2025-09-20T14:28:48"/>
    <d v="2025-09-21T14:28:48"/>
    <n v="1"/>
    <x v="0"/>
    <x v="1"/>
    <x v="1"/>
    <x v="2"/>
    <n v="31000"/>
    <n v="31000"/>
    <n v="7500"/>
    <n v="38500"/>
    <s v="Yokohama"/>
  </r>
  <r>
    <x v="348"/>
    <x v="85"/>
    <x v="348"/>
    <d v="2025-09-04T21:18:29"/>
    <d v="2025-09-10T21:18:29"/>
    <n v="6"/>
    <x v="2"/>
    <x v="0"/>
    <x v="1"/>
    <x v="2"/>
    <n v="19000"/>
    <n v="114000"/>
    <n v="5500"/>
    <n v="119500"/>
    <s v="Saitama"/>
  </r>
  <r>
    <x v="349"/>
    <x v="216"/>
    <x v="349"/>
    <d v="2025-09-15T21:56:32"/>
    <d v="2025-09-18T21:56:32"/>
    <n v="3"/>
    <x v="1"/>
    <x v="1"/>
    <x v="0"/>
    <x v="2"/>
    <n v="12000"/>
    <n v="36000"/>
    <n v="0"/>
    <n v="36000"/>
    <s v="Tokyo"/>
  </r>
  <r>
    <x v="350"/>
    <x v="38"/>
    <x v="350"/>
    <d v="2025-09-10T21:24:39"/>
    <d v="2025-09-13T21:24:39"/>
    <n v="3"/>
    <x v="1"/>
    <x v="0"/>
    <x v="0"/>
    <x v="1"/>
    <n v="13000"/>
    <n v="39000"/>
    <n v="13500"/>
    <n v="52500"/>
    <s v="Nagoya"/>
  </r>
  <r>
    <x v="351"/>
    <x v="220"/>
    <x v="351"/>
    <d v="2025-09-01T05:11:32"/>
    <d v="2025-09-03T05:11:32"/>
    <n v="2"/>
    <x v="2"/>
    <x v="1"/>
    <x v="0"/>
    <x v="0"/>
    <n v="18000"/>
    <n v="36000"/>
    <n v="3500"/>
    <n v="39500"/>
    <s v="Tokyo"/>
  </r>
  <r>
    <x v="352"/>
    <x v="89"/>
    <x v="352"/>
    <d v="2025-09-10T04:00:22"/>
    <d v="2025-09-13T04:00:22"/>
    <n v="3"/>
    <x v="1"/>
    <x v="1"/>
    <x v="0"/>
    <x v="2"/>
    <n v="12000"/>
    <n v="36000"/>
    <n v="4500"/>
    <n v="40500"/>
    <s v="Saitama"/>
  </r>
  <r>
    <x v="353"/>
    <x v="153"/>
    <x v="353"/>
    <d v="2025-09-27T07:47:45"/>
    <d v="2025-09-28T07:47:45"/>
    <n v="1"/>
    <x v="1"/>
    <x v="1"/>
    <x v="2"/>
    <x v="3"/>
    <n v="13000"/>
    <n v="13000"/>
    <n v="7500"/>
    <n v="20500"/>
    <s v="Yokohama"/>
  </r>
  <r>
    <x v="354"/>
    <x v="79"/>
    <x v="354"/>
    <d v="2025-09-16T07:50:54"/>
    <d v="2025-09-21T07:50:54"/>
    <n v="5"/>
    <x v="1"/>
    <x v="0"/>
    <x v="2"/>
    <x v="2"/>
    <n v="11000"/>
    <n v="55000"/>
    <n v="2500"/>
    <n v="57500"/>
    <s v="Chiba"/>
  </r>
  <r>
    <x v="355"/>
    <x v="221"/>
    <x v="355"/>
    <d v="2025-09-12T11:49:14"/>
    <d v="2025-09-13T11:49:14"/>
    <n v="1"/>
    <x v="1"/>
    <x v="1"/>
    <x v="0"/>
    <x v="0"/>
    <n v="13000"/>
    <n v="13000"/>
    <n v="7500"/>
    <n v="20500"/>
    <s v="Yokohama"/>
  </r>
  <r>
    <x v="356"/>
    <x v="222"/>
    <x v="356"/>
    <d v="2025-09-29T12:58:30"/>
    <d v="2025-10-03T12:58:30"/>
    <n v="4"/>
    <x v="0"/>
    <x v="1"/>
    <x v="1"/>
    <x v="3"/>
    <n v="30000"/>
    <n v="120000"/>
    <n v="8500"/>
    <n v="128500"/>
    <s v="Yokohama"/>
  </r>
  <r>
    <x v="357"/>
    <x v="223"/>
    <x v="357"/>
    <d v="2025-09-30T04:50:40"/>
    <d v="2025-10-01T04:50:40"/>
    <n v="1"/>
    <x v="2"/>
    <x v="1"/>
    <x v="2"/>
    <x v="0"/>
    <n v="19000"/>
    <n v="19000"/>
    <n v="7500"/>
    <n v="26500"/>
    <s v="Chiba"/>
  </r>
  <r>
    <x v="358"/>
    <x v="224"/>
    <x v="358"/>
    <d v="2025-09-05T09:35:48"/>
    <d v="2025-09-08T09:35:48"/>
    <n v="3"/>
    <x v="1"/>
    <x v="1"/>
    <x v="1"/>
    <x v="0"/>
    <n v="11000"/>
    <n v="33000"/>
    <n v="1000"/>
    <n v="34000"/>
    <s v="Osaka"/>
  </r>
  <r>
    <x v="359"/>
    <x v="199"/>
    <x v="359"/>
    <d v="2025-10-02T19:20:23"/>
    <d v="2025-10-08T19:20:23"/>
    <n v="6"/>
    <x v="1"/>
    <x v="1"/>
    <x v="2"/>
    <x v="0"/>
    <n v="11000"/>
    <n v="66000"/>
    <n v="6500"/>
    <n v="72500"/>
    <s v="Yokohama"/>
  </r>
  <r>
    <x v="360"/>
    <x v="53"/>
    <x v="360"/>
    <d v="2025-10-05T03:12:53"/>
    <d v="2025-10-07T03:12:53"/>
    <n v="2"/>
    <x v="2"/>
    <x v="1"/>
    <x v="1"/>
    <x v="3"/>
    <n v="17000"/>
    <n v="34000"/>
    <n v="4500"/>
    <n v="38500"/>
    <s v="Saitama"/>
  </r>
  <r>
    <x v="361"/>
    <x v="12"/>
    <x v="361"/>
    <d v="2025-10-02T17:20:27"/>
    <d v="2025-10-08T17:20:27"/>
    <n v="6"/>
    <x v="2"/>
    <x v="1"/>
    <x v="1"/>
    <x v="2"/>
    <n v="18000"/>
    <n v="108000"/>
    <n v="7500"/>
    <n v="115500"/>
    <s v="Chiba"/>
  </r>
  <r>
    <x v="362"/>
    <x v="166"/>
    <x v="362"/>
    <d v="2025-09-25T19:21:28"/>
    <d v="2025-10-01T19:21:28"/>
    <n v="6"/>
    <x v="1"/>
    <x v="1"/>
    <x v="1"/>
    <x v="3"/>
    <n v="12000"/>
    <n v="72000"/>
    <n v="7500"/>
    <n v="79500"/>
    <s v="Chiba"/>
  </r>
  <r>
    <x v="363"/>
    <x v="200"/>
    <x v="363"/>
    <d v="2025-09-30T20:46:46"/>
    <d v="2025-10-02T20:46:46"/>
    <n v="2"/>
    <x v="0"/>
    <x v="1"/>
    <x v="1"/>
    <x v="0"/>
    <n v="29000"/>
    <n v="58000"/>
    <n v="10000"/>
    <n v="68000"/>
    <s v="Osaka"/>
  </r>
  <r>
    <x v="364"/>
    <x v="23"/>
    <x v="364"/>
    <d v="2025-09-16T04:43:39"/>
    <d v="2025-09-17T04:43:39"/>
    <n v="1"/>
    <x v="1"/>
    <x v="0"/>
    <x v="0"/>
    <x v="2"/>
    <n v="11000"/>
    <n v="11000"/>
    <n v="2500"/>
    <n v="13500"/>
    <s v="Osaka"/>
  </r>
  <r>
    <x v="365"/>
    <x v="111"/>
    <x v="365"/>
    <d v="2025-09-22T08:16:59"/>
    <d v="2025-09-25T08:16:59"/>
    <n v="3"/>
    <x v="1"/>
    <x v="1"/>
    <x v="1"/>
    <x v="0"/>
    <n v="11000"/>
    <n v="33000"/>
    <n v="6000"/>
    <n v="39000"/>
    <s v="Yokohama"/>
  </r>
  <r>
    <x v="366"/>
    <x v="225"/>
    <x v="366"/>
    <d v="2025-09-16T18:17:22"/>
    <d v="2025-09-18T18:17:22"/>
    <n v="2"/>
    <x v="1"/>
    <x v="0"/>
    <x v="1"/>
    <x v="2"/>
    <n v="12000"/>
    <n v="24000"/>
    <n v="6500"/>
    <n v="30500"/>
    <s v="Yokohama"/>
  </r>
  <r>
    <x v="367"/>
    <x v="77"/>
    <x v="367"/>
    <d v="2025-09-21T18:56:34"/>
    <d v="2025-09-23T18:56:34"/>
    <n v="2"/>
    <x v="0"/>
    <x v="0"/>
    <x v="1"/>
    <x v="0"/>
    <n v="29000"/>
    <n v="58000"/>
    <n v="11500"/>
    <n v="69500"/>
    <s v="Nagoya"/>
  </r>
  <r>
    <x v="368"/>
    <x v="226"/>
    <x v="368"/>
    <d v="2025-09-17T11:19:59"/>
    <d v="2025-09-21T11:19:59"/>
    <n v="4"/>
    <x v="1"/>
    <x v="0"/>
    <x v="1"/>
    <x v="2"/>
    <n v="13000"/>
    <n v="52000"/>
    <n v="500"/>
    <n v="52500"/>
    <s v="Yokohama"/>
  </r>
  <r>
    <x v="369"/>
    <x v="37"/>
    <x v="369"/>
    <d v="2025-09-12T11:25:38"/>
    <d v="2025-09-18T11:25:38"/>
    <n v="6"/>
    <x v="1"/>
    <x v="1"/>
    <x v="0"/>
    <x v="0"/>
    <n v="13000"/>
    <n v="78000"/>
    <n v="11000"/>
    <n v="89000"/>
    <s v="Tokyo"/>
  </r>
  <r>
    <x v="370"/>
    <x v="227"/>
    <x v="370"/>
    <d v="2025-09-29T17:53:22"/>
    <d v="2025-10-06T17:53:22"/>
    <n v="7"/>
    <x v="2"/>
    <x v="0"/>
    <x v="1"/>
    <x v="1"/>
    <n v="19000"/>
    <n v="133000"/>
    <n v="5500"/>
    <n v="138500"/>
    <s v="Osaka"/>
  </r>
  <r>
    <x v="371"/>
    <x v="94"/>
    <x v="371"/>
    <d v="2025-09-24T05:18:16"/>
    <d v="2025-09-26T05:18:16"/>
    <n v="2"/>
    <x v="2"/>
    <x v="1"/>
    <x v="0"/>
    <x v="0"/>
    <n v="18000"/>
    <n v="36000"/>
    <n v="3000"/>
    <n v="39000"/>
    <s v="Nagoya"/>
  </r>
  <r>
    <x v="372"/>
    <x v="99"/>
    <x v="372"/>
    <d v="2025-10-11T14:50:32"/>
    <d v="2025-10-18T14:50:32"/>
    <n v="7"/>
    <x v="2"/>
    <x v="0"/>
    <x v="1"/>
    <x v="0"/>
    <n v="18000"/>
    <n v="126000"/>
    <n v="5000"/>
    <n v="131000"/>
    <s v="Chiba"/>
  </r>
  <r>
    <x v="373"/>
    <x v="145"/>
    <x v="373"/>
    <d v="2025-09-14T06:52:44"/>
    <d v="2025-09-16T06:52:44"/>
    <n v="2"/>
    <x v="0"/>
    <x v="1"/>
    <x v="1"/>
    <x v="3"/>
    <n v="29000"/>
    <n v="58000"/>
    <n v="6500"/>
    <n v="64500"/>
    <s v="Yokohama"/>
  </r>
  <r>
    <x v="374"/>
    <x v="37"/>
    <x v="374"/>
    <d v="2025-09-27T08:58:54"/>
    <d v="2025-10-04T08:58:54"/>
    <n v="7"/>
    <x v="0"/>
    <x v="0"/>
    <x v="1"/>
    <x v="0"/>
    <n v="31000"/>
    <n v="217000"/>
    <n v="5000"/>
    <n v="222000"/>
    <s v="Osaka"/>
  </r>
  <r>
    <x v="375"/>
    <x v="228"/>
    <x v="375"/>
    <d v="2025-09-27T03:34:51"/>
    <d v="2025-09-29T03:34:51"/>
    <n v="2"/>
    <x v="1"/>
    <x v="1"/>
    <x v="1"/>
    <x v="3"/>
    <n v="11000"/>
    <n v="22000"/>
    <n v="5000"/>
    <n v="27000"/>
    <s v="Nagoya"/>
  </r>
  <r>
    <x v="376"/>
    <x v="88"/>
    <x v="376"/>
    <d v="2025-10-10T11:25:03"/>
    <d v="2025-10-13T11:25:03"/>
    <n v="3"/>
    <x v="1"/>
    <x v="1"/>
    <x v="0"/>
    <x v="0"/>
    <n v="13000"/>
    <n v="39000"/>
    <n v="9000"/>
    <n v="48000"/>
    <s v="Nagoya"/>
  </r>
  <r>
    <x v="377"/>
    <x v="67"/>
    <x v="377"/>
    <d v="2025-09-29T12:50:24"/>
    <d v="2025-10-02T12:50:24"/>
    <n v="3"/>
    <x v="0"/>
    <x v="1"/>
    <x v="1"/>
    <x v="0"/>
    <n v="29000"/>
    <n v="87000"/>
    <n v="4500"/>
    <n v="91500"/>
    <s v="Yokohama"/>
  </r>
  <r>
    <x v="378"/>
    <x v="229"/>
    <x v="378"/>
    <d v="2025-09-26T04:09:59"/>
    <d v="2025-09-28T04:09:59"/>
    <n v="2"/>
    <x v="2"/>
    <x v="1"/>
    <x v="1"/>
    <x v="0"/>
    <n v="17000"/>
    <n v="34000"/>
    <n v="7000"/>
    <n v="41000"/>
    <s v="Yokohama"/>
  </r>
  <r>
    <x v="379"/>
    <x v="62"/>
    <x v="379"/>
    <d v="2025-10-07T01:43:30"/>
    <d v="2025-10-14T01:43:30"/>
    <n v="7"/>
    <x v="2"/>
    <x v="0"/>
    <x v="1"/>
    <x v="0"/>
    <n v="19000"/>
    <n v="133000"/>
    <n v="7500"/>
    <n v="140500"/>
    <s v="Yokohama"/>
  </r>
  <r>
    <x v="380"/>
    <x v="229"/>
    <x v="380"/>
    <d v="2025-09-23T01:35:09"/>
    <d v="2025-09-25T01:35:09"/>
    <n v="2"/>
    <x v="1"/>
    <x v="0"/>
    <x v="2"/>
    <x v="2"/>
    <n v="12000"/>
    <n v="24000"/>
    <n v="3500"/>
    <n v="27500"/>
    <s v="Yokohama"/>
  </r>
  <r>
    <x v="381"/>
    <x v="44"/>
    <x v="381"/>
    <d v="2025-09-23T04:42:33"/>
    <d v="2025-09-26T04:42:33"/>
    <n v="3"/>
    <x v="1"/>
    <x v="1"/>
    <x v="1"/>
    <x v="1"/>
    <n v="11000"/>
    <n v="33000"/>
    <n v="2000"/>
    <n v="35000"/>
    <s v="Tokyo"/>
  </r>
  <r>
    <x v="382"/>
    <x v="230"/>
    <x v="382"/>
    <d v="2025-09-27T16:03:24"/>
    <d v="2025-10-03T16:03:24"/>
    <n v="6"/>
    <x v="1"/>
    <x v="1"/>
    <x v="1"/>
    <x v="0"/>
    <n v="11000"/>
    <n v="66000"/>
    <n v="8000"/>
    <n v="74000"/>
    <s v="Saitama"/>
  </r>
  <r>
    <x v="383"/>
    <x v="23"/>
    <x v="383"/>
    <d v="2025-10-10T02:19:41"/>
    <d v="2025-10-14T02:19:41"/>
    <n v="4"/>
    <x v="1"/>
    <x v="0"/>
    <x v="0"/>
    <x v="1"/>
    <n v="13000"/>
    <n v="52000"/>
    <n v="13000"/>
    <n v="65000"/>
    <s v="Chiba"/>
  </r>
  <r>
    <x v="384"/>
    <x v="203"/>
    <x v="384"/>
    <d v="2025-10-13T21:41:00"/>
    <d v="2025-10-15T21:41:00"/>
    <n v="2"/>
    <x v="1"/>
    <x v="1"/>
    <x v="0"/>
    <x v="2"/>
    <n v="13000"/>
    <n v="26000"/>
    <n v="5500"/>
    <n v="31500"/>
    <s v="Nagoya"/>
  </r>
  <r>
    <x v="385"/>
    <x v="210"/>
    <x v="385"/>
    <d v="2025-10-16T15:23:24"/>
    <d v="2025-10-22T15:23:24"/>
    <n v="6"/>
    <x v="1"/>
    <x v="1"/>
    <x v="1"/>
    <x v="0"/>
    <n v="11000"/>
    <n v="66000"/>
    <n v="3000"/>
    <n v="69000"/>
    <s v="Nagoya"/>
  </r>
  <r>
    <x v="386"/>
    <x v="119"/>
    <x v="386"/>
    <d v="2025-10-14T04:45:51"/>
    <d v="2025-10-16T04:45:51"/>
    <n v="2"/>
    <x v="2"/>
    <x v="0"/>
    <x v="1"/>
    <x v="1"/>
    <n v="18000"/>
    <n v="36000"/>
    <n v="8500"/>
    <n v="44500"/>
    <s v="Saitama"/>
  </r>
  <r>
    <x v="387"/>
    <x v="195"/>
    <x v="387"/>
    <d v="2025-10-20T02:05:35"/>
    <d v="2025-10-21T02:05:35"/>
    <n v="1"/>
    <x v="2"/>
    <x v="1"/>
    <x v="1"/>
    <x v="3"/>
    <n v="18000"/>
    <n v="18000"/>
    <n v="5500"/>
    <n v="23500"/>
    <s v="Saitama"/>
  </r>
  <r>
    <x v="388"/>
    <x v="231"/>
    <x v="388"/>
    <d v="2025-10-23T11:38:22"/>
    <d v="2025-10-26T11:38:22"/>
    <n v="3"/>
    <x v="2"/>
    <x v="0"/>
    <x v="2"/>
    <x v="0"/>
    <n v="18000"/>
    <n v="54000"/>
    <n v="11000"/>
    <n v="65000"/>
    <s v="Chiba"/>
  </r>
  <r>
    <x v="389"/>
    <x v="0"/>
    <x v="389"/>
    <d v="2025-10-08T17:02:38"/>
    <d v="2025-10-10T17:02:38"/>
    <n v="2"/>
    <x v="1"/>
    <x v="1"/>
    <x v="2"/>
    <x v="2"/>
    <n v="13000"/>
    <n v="26000"/>
    <n v="7000"/>
    <n v="33000"/>
    <s v="Osaka"/>
  </r>
  <r>
    <x v="390"/>
    <x v="232"/>
    <x v="390"/>
    <d v="2025-10-04T19:39:49"/>
    <d v="2025-10-05T19:39:49"/>
    <n v="1"/>
    <x v="1"/>
    <x v="1"/>
    <x v="1"/>
    <x v="0"/>
    <n v="11000"/>
    <n v="11000"/>
    <n v="0"/>
    <n v="11000"/>
    <s v="Chiba"/>
  </r>
  <r>
    <x v="391"/>
    <x v="58"/>
    <x v="391"/>
    <d v="2025-10-17T21:48:59"/>
    <d v="2025-10-18T21:48:59"/>
    <n v="1"/>
    <x v="1"/>
    <x v="1"/>
    <x v="2"/>
    <x v="3"/>
    <n v="13000"/>
    <n v="13000"/>
    <n v="1000"/>
    <n v="14000"/>
    <s v="Saitama"/>
  </r>
  <r>
    <x v="392"/>
    <x v="210"/>
    <x v="392"/>
    <d v="2025-10-10T10:41:25"/>
    <d v="2025-10-14T10:41:25"/>
    <n v="4"/>
    <x v="2"/>
    <x v="1"/>
    <x v="2"/>
    <x v="0"/>
    <n v="19000"/>
    <n v="76000"/>
    <n v="5000"/>
    <n v="81000"/>
    <s v="Nagoya"/>
  </r>
  <r>
    <x v="393"/>
    <x v="158"/>
    <x v="393"/>
    <d v="2025-10-12T05:29:02"/>
    <d v="2025-10-16T05:29:02"/>
    <n v="4"/>
    <x v="1"/>
    <x v="0"/>
    <x v="0"/>
    <x v="3"/>
    <n v="12000"/>
    <n v="48000"/>
    <n v="5500"/>
    <n v="53500"/>
    <s v="Tokyo"/>
  </r>
  <r>
    <x v="394"/>
    <x v="86"/>
    <x v="394"/>
    <d v="2025-10-25T22:56:57"/>
    <d v="2025-10-29T22:56:57"/>
    <n v="4"/>
    <x v="1"/>
    <x v="1"/>
    <x v="1"/>
    <x v="1"/>
    <n v="12000"/>
    <n v="48000"/>
    <n v="11000"/>
    <n v="59000"/>
    <s v="Yokohama"/>
  </r>
  <r>
    <x v="395"/>
    <x v="233"/>
    <x v="395"/>
    <d v="2025-10-18T23:49:44"/>
    <d v="2025-10-20T23:49:44"/>
    <n v="2"/>
    <x v="1"/>
    <x v="1"/>
    <x v="2"/>
    <x v="0"/>
    <n v="13000"/>
    <n v="26000"/>
    <n v="11000"/>
    <n v="37000"/>
    <s v="Osaka"/>
  </r>
  <r>
    <x v="396"/>
    <x v="234"/>
    <x v="396"/>
    <d v="2025-10-14T06:07:56"/>
    <d v="2025-10-17T06:07:56"/>
    <n v="3"/>
    <x v="1"/>
    <x v="0"/>
    <x v="1"/>
    <x v="0"/>
    <n v="11000"/>
    <n v="33000"/>
    <n v="3500"/>
    <n v="36500"/>
    <s v="Nagoya"/>
  </r>
  <r>
    <x v="397"/>
    <x v="97"/>
    <x v="397"/>
    <d v="2025-10-11T23:58:06"/>
    <d v="2025-10-17T23:58:06"/>
    <n v="6"/>
    <x v="1"/>
    <x v="0"/>
    <x v="1"/>
    <x v="3"/>
    <n v="12000"/>
    <n v="72000"/>
    <n v="11000"/>
    <n v="83000"/>
    <s v="Yokohama"/>
  </r>
  <r>
    <x v="398"/>
    <x v="142"/>
    <x v="398"/>
    <d v="2025-10-01T02:03:57"/>
    <d v="2025-10-06T02:03:57"/>
    <n v="5"/>
    <x v="1"/>
    <x v="1"/>
    <x v="2"/>
    <x v="2"/>
    <n v="13000"/>
    <n v="65000"/>
    <n v="3000"/>
    <n v="68000"/>
    <s v="Tokyo"/>
  </r>
  <r>
    <x v="399"/>
    <x v="20"/>
    <x v="399"/>
    <d v="2025-10-04T05:07:19"/>
    <d v="2025-10-07T05:07:19"/>
    <n v="3"/>
    <x v="0"/>
    <x v="1"/>
    <x v="1"/>
    <x v="3"/>
    <n v="30000"/>
    <n v="90000"/>
    <n v="1000"/>
    <n v="91000"/>
    <s v="Saitama"/>
  </r>
  <r>
    <x v="400"/>
    <x v="235"/>
    <x v="400"/>
    <d v="2025-10-26T07:37:29"/>
    <d v="2025-11-01T07:37:29"/>
    <n v="6"/>
    <x v="0"/>
    <x v="1"/>
    <x v="1"/>
    <x v="2"/>
    <n v="30000"/>
    <n v="180000"/>
    <n v="3000"/>
    <n v="183000"/>
    <s v="Yokohama"/>
  </r>
  <r>
    <x v="401"/>
    <x v="12"/>
    <x v="401"/>
    <d v="2025-10-26T02:04:12"/>
    <d v="2025-10-28T02:04:12"/>
    <n v="2"/>
    <x v="2"/>
    <x v="1"/>
    <x v="0"/>
    <x v="1"/>
    <n v="18000"/>
    <n v="36000"/>
    <n v="2000"/>
    <n v="38000"/>
    <s v="Osaka"/>
  </r>
  <r>
    <x v="402"/>
    <x v="62"/>
    <x v="402"/>
    <d v="2025-10-06T22:52:33"/>
    <d v="2025-10-12T22:52:33"/>
    <n v="6"/>
    <x v="2"/>
    <x v="0"/>
    <x v="1"/>
    <x v="0"/>
    <n v="19000"/>
    <n v="114000"/>
    <n v="5500"/>
    <n v="119500"/>
    <s v="Nagoya"/>
  </r>
  <r>
    <x v="403"/>
    <x v="3"/>
    <x v="403"/>
    <d v="2025-10-23T02:01:58"/>
    <d v="2025-10-27T02:01:58"/>
    <n v="4"/>
    <x v="1"/>
    <x v="1"/>
    <x v="1"/>
    <x v="2"/>
    <n v="12000"/>
    <n v="48000"/>
    <n v="9000"/>
    <n v="57000"/>
    <s v="Chiba"/>
  </r>
  <r>
    <x v="404"/>
    <x v="49"/>
    <x v="404"/>
    <d v="2025-10-09T22:23:46"/>
    <d v="2025-10-14T22:23:46"/>
    <n v="5"/>
    <x v="2"/>
    <x v="1"/>
    <x v="2"/>
    <x v="1"/>
    <n v="18000"/>
    <n v="90000"/>
    <n v="8000"/>
    <n v="98000"/>
    <s v="Nagoya"/>
  </r>
  <r>
    <x v="405"/>
    <x v="106"/>
    <x v="405"/>
    <d v="2025-10-08T14:45:29"/>
    <d v="2025-10-13T14:45:29"/>
    <n v="5"/>
    <x v="0"/>
    <x v="1"/>
    <x v="1"/>
    <x v="1"/>
    <n v="31000"/>
    <n v="155000"/>
    <n v="11500"/>
    <n v="166500"/>
    <s v="Saitama"/>
  </r>
  <r>
    <x v="406"/>
    <x v="94"/>
    <x v="406"/>
    <d v="2025-10-24T23:29:44"/>
    <d v="2025-10-30T23:29:44"/>
    <n v="6"/>
    <x v="2"/>
    <x v="1"/>
    <x v="0"/>
    <x v="0"/>
    <n v="18000"/>
    <n v="108000"/>
    <n v="1500"/>
    <n v="109500"/>
    <s v="Nagoya"/>
  </r>
  <r>
    <x v="407"/>
    <x v="110"/>
    <x v="407"/>
    <d v="2025-10-21T06:06:01"/>
    <d v="2025-10-28T06:06:01"/>
    <n v="7"/>
    <x v="2"/>
    <x v="1"/>
    <x v="2"/>
    <x v="1"/>
    <n v="18000"/>
    <n v="126000"/>
    <n v="8000"/>
    <n v="134000"/>
    <s v="Yokohama"/>
  </r>
  <r>
    <x v="408"/>
    <x v="177"/>
    <x v="408"/>
    <d v="2025-10-10T06:36:16"/>
    <d v="2025-10-15T06:36:16"/>
    <n v="5"/>
    <x v="1"/>
    <x v="0"/>
    <x v="0"/>
    <x v="0"/>
    <n v="12000"/>
    <n v="60000"/>
    <n v="6000"/>
    <n v="66000"/>
    <s v="Yokohama"/>
  </r>
  <r>
    <x v="409"/>
    <x v="85"/>
    <x v="409"/>
    <d v="2025-10-18T20:24:12"/>
    <d v="2025-10-20T20:24:12"/>
    <n v="2"/>
    <x v="1"/>
    <x v="1"/>
    <x v="0"/>
    <x v="0"/>
    <n v="11000"/>
    <n v="22000"/>
    <n v="6000"/>
    <n v="28000"/>
    <s v="Nagoya"/>
  </r>
  <r>
    <x v="410"/>
    <x v="236"/>
    <x v="410"/>
    <d v="2025-11-04T23:27:30"/>
    <d v="2025-11-09T23:27:30"/>
    <n v="5"/>
    <x v="1"/>
    <x v="0"/>
    <x v="2"/>
    <x v="0"/>
    <n v="12000"/>
    <n v="60000"/>
    <n v="8000"/>
    <n v="68000"/>
    <s v="Saitama"/>
  </r>
  <r>
    <x v="411"/>
    <x v="158"/>
    <x v="411"/>
    <d v="2025-11-04T05:49:45"/>
    <d v="2025-11-08T05:49:45"/>
    <n v="4"/>
    <x v="1"/>
    <x v="1"/>
    <x v="0"/>
    <x v="1"/>
    <n v="11000"/>
    <n v="44000"/>
    <n v="9500"/>
    <n v="53500"/>
    <s v="Nagoya"/>
  </r>
  <r>
    <x v="412"/>
    <x v="32"/>
    <x v="412"/>
    <d v="2025-11-04T15:44:10"/>
    <d v="2025-11-06T15:44:10"/>
    <n v="2"/>
    <x v="1"/>
    <x v="0"/>
    <x v="2"/>
    <x v="2"/>
    <n v="13000"/>
    <n v="26000"/>
    <n v="10500"/>
    <n v="36500"/>
    <s v="Osaka"/>
  </r>
  <r>
    <x v="413"/>
    <x v="25"/>
    <x v="413"/>
    <d v="2025-10-26T14:31:04"/>
    <d v="2025-10-30T14:31:04"/>
    <n v="4"/>
    <x v="1"/>
    <x v="1"/>
    <x v="1"/>
    <x v="0"/>
    <n v="13000"/>
    <n v="52000"/>
    <n v="5000"/>
    <n v="57000"/>
    <s v="Chiba"/>
  </r>
  <r>
    <x v="414"/>
    <x v="32"/>
    <x v="414"/>
    <d v="2025-10-19T04:37:32"/>
    <d v="2025-10-21T04:37:32"/>
    <n v="2"/>
    <x v="2"/>
    <x v="1"/>
    <x v="1"/>
    <x v="0"/>
    <n v="19000"/>
    <n v="38000"/>
    <n v="4500"/>
    <n v="42500"/>
    <s v="Chiba"/>
  </r>
  <r>
    <x v="415"/>
    <x v="237"/>
    <x v="415"/>
    <d v="2025-10-29T09:39:10"/>
    <d v="2025-10-30T09:39:10"/>
    <n v="1"/>
    <x v="2"/>
    <x v="1"/>
    <x v="0"/>
    <x v="0"/>
    <n v="19000"/>
    <n v="19000"/>
    <n v="500"/>
    <n v="19500"/>
    <s v="Yokohama"/>
  </r>
  <r>
    <x v="416"/>
    <x v="193"/>
    <x v="416"/>
    <d v="2025-11-12T15:52:36"/>
    <d v="2025-11-13T15:52:36"/>
    <n v="1"/>
    <x v="1"/>
    <x v="1"/>
    <x v="1"/>
    <x v="1"/>
    <n v="12000"/>
    <n v="12000"/>
    <n v="4500"/>
    <n v="16500"/>
    <s v="Nagoya"/>
  </r>
  <r>
    <x v="417"/>
    <x v="108"/>
    <x v="417"/>
    <d v="2025-10-15T20:37:03"/>
    <d v="2025-10-19T20:37:03"/>
    <n v="4"/>
    <x v="1"/>
    <x v="0"/>
    <x v="1"/>
    <x v="0"/>
    <n v="13000"/>
    <n v="52000"/>
    <n v="12500"/>
    <n v="64500"/>
    <s v="Nagoya"/>
  </r>
  <r>
    <x v="418"/>
    <x v="78"/>
    <x v="418"/>
    <d v="2025-11-02T06:37:08"/>
    <d v="2025-11-05T06:37:08"/>
    <n v="3"/>
    <x v="1"/>
    <x v="1"/>
    <x v="2"/>
    <x v="0"/>
    <n v="13000"/>
    <n v="39000"/>
    <n v="9500"/>
    <n v="48500"/>
    <s v="Tokyo"/>
  </r>
  <r>
    <x v="419"/>
    <x v="206"/>
    <x v="419"/>
    <d v="2025-10-21T14:12:16"/>
    <d v="2025-10-23T14:12:16"/>
    <n v="2"/>
    <x v="1"/>
    <x v="1"/>
    <x v="0"/>
    <x v="0"/>
    <n v="12000"/>
    <n v="24000"/>
    <n v="500"/>
    <n v="24500"/>
    <s v="Saitama"/>
  </r>
  <r>
    <x v="420"/>
    <x v="57"/>
    <x v="420"/>
    <d v="2025-10-21T21:05:52"/>
    <d v="2025-10-26T21:05:52"/>
    <n v="5"/>
    <x v="1"/>
    <x v="0"/>
    <x v="1"/>
    <x v="2"/>
    <n v="13000"/>
    <n v="65000"/>
    <n v="1000"/>
    <n v="66000"/>
    <s v="Nagoya"/>
  </r>
  <r>
    <x v="421"/>
    <x v="116"/>
    <x v="421"/>
    <d v="2025-11-04T16:30:26"/>
    <d v="2025-11-06T16:30:26"/>
    <n v="2"/>
    <x v="2"/>
    <x v="1"/>
    <x v="0"/>
    <x v="3"/>
    <n v="19000"/>
    <n v="38000"/>
    <n v="10500"/>
    <n v="48500"/>
    <s v="Chiba"/>
  </r>
  <r>
    <x v="422"/>
    <x v="51"/>
    <x v="422"/>
    <d v="2025-11-02T20:04:14"/>
    <d v="2025-11-07T20:04:14"/>
    <n v="5"/>
    <x v="0"/>
    <x v="1"/>
    <x v="2"/>
    <x v="0"/>
    <n v="29000"/>
    <n v="145000"/>
    <n v="3000"/>
    <n v="148000"/>
    <s v="Saitama"/>
  </r>
  <r>
    <x v="423"/>
    <x v="238"/>
    <x v="423"/>
    <d v="2025-11-19T03:51:37"/>
    <d v="2025-11-22T03:51:37"/>
    <n v="3"/>
    <x v="2"/>
    <x v="1"/>
    <x v="2"/>
    <x v="0"/>
    <n v="17000"/>
    <n v="51000"/>
    <n v="3500"/>
    <n v="54500"/>
    <s v="Chiba"/>
  </r>
  <r>
    <x v="424"/>
    <x v="239"/>
    <x v="424"/>
    <d v="2025-11-07T04:11:39"/>
    <d v="2025-11-10T04:11:39"/>
    <n v="3"/>
    <x v="0"/>
    <x v="1"/>
    <x v="2"/>
    <x v="3"/>
    <n v="30000"/>
    <n v="90000"/>
    <n v="6500"/>
    <n v="96500"/>
    <s v="Nagoya"/>
  </r>
  <r>
    <x v="425"/>
    <x v="240"/>
    <x v="425"/>
    <d v="2025-11-08T20:06:04"/>
    <d v="2025-11-11T20:06:04"/>
    <n v="3"/>
    <x v="2"/>
    <x v="1"/>
    <x v="0"/>
    <x v="2"/>
    <n v="17000"/>
    <n v="51000"/>
    <n v="4000"/>
    <n v="55000"/>
    <s v="Nagoya"/>
  </r>
  <r>
    <x v="426"/>
    <x v="8"/>
    <x v="426"/>
    <d v="2025-11-10T04:42:27"/>
    <d v="2025-11-16T04:42:27"/>
    <n v="6"/>
    <x v="2"/>
    <x v="0"/>
    <x v="1"/>
    <x v="1"/>
    <n v="19000"/>
    <n v="114000"/>
    <n v="9500"/>
    <n v="123500"/>
    <s v="Tokyo"/>
  </r>
  <r>
    <x v="427"/>
    <x v="167"/>
    <x v="427"/>
    <d v="2025-11-11T03:39:37"/>
    <d v="2025-11-16T03:39:37"/>
    <n v="5"/>
    <x v="1"/>
    <x v="1"/>
    <x v="0"/>
    <x v="0"/>
    <n v="12000"/>
    <n v="60000"/>
    <n v="3500"/>
    <n v="63500"/>
    <s v="Saitama"/>
  </r>
  <r>
    <x v="428"/>
    <x v="241"/>
    <x v="428"/>
    <d v="2025-11-21T06:12:17"/>
    <d v="2025-11-22T06:12:17"/>
    <n v="1"/>
    <x v="1"/>
    <x v="0"/>
    <x v="0"/>
    <x v="2"/>
    <n v="11000"/>
    <n v="11000"/>
    <n v="7500"/>
    <n v="18500"/>
    <s v="Nagoya"/>
  </r>
  <r>
    <x v="429"/>
    <x v="98"/>
    <x v="429"/>
    <d v="2025-10-27T08:34:14"/>
    <d v="2025-11-01T08:34:14"/>
    <n v="5"/>
    <x v="1"/>
    <x v="1"/>
    <x v="0"/>
    <x v="2"/>
    <n v="13000"/>
    <n v="65000"/>
    <n v="3500"/>
    <n v="68500"/>
    <s v="Saitama"/>
  </r>
  <r>
    <x v="430"/>
    <x v="104"/>
    <x v="430"/>
    <d v="2025-11-06T13:11:25"/>
    <d v="2025-11-11T13:11:25"/>
    <n v="5"/>
    <x v="1"/>
    <x v="1"/>
    <x v="1"/>
    <x v="0"/>
    <n v="11000"/>
    <n v="55000"/>
    <n v="4000"/>
    <n v="59000"/>
    <s v="Nagoya"/>
  </r>
  <r>
    <x v="431"/>
    <x v="242"/>
    <x v="431"/>
    <d v="2025-11-16T19:07:03"/>
    <d v="2025-11-19T19:07:03"/>
    <n v="3"/>
    <x v="2"/>
    <x v="1"/>
    <x v="1"/>
    <x v="0"/>
    <n v="19000"/>
    <n v="57000"/>
    <n v="8000"/>
    <n v="65000"/>
    <s v="Tokyo"/>
  </r>
  <r>
    <x v="432"/>
    <x v="57"/>
    <x v="432"/>
    <d v="2025-11-04T22:17:18"/>
    <d v="2025-11-10T22:17:18"/>
    <n v="6"/>
    <x v="1"/>
    <x v="0"/>
    <x v="2"/>
    <x v="0"/>
    <n v="12000"/>
    <n v="72000"/>
    <n v="6500"/>
    <n v="78500"/>
    <s v="Saitama"/>
  </r>
  <r>
    <x v="433"/>
    <x v="243"/>
    <x v="433"/>
    <d v="2025-11-12T23:47:01"/>
    <d v="2025-11-15T23:47:01"/>
    <n v="3"/>
    <x v="2"/>
    <x v="1"/>
    <x v="1"/>
    <x v="2"/>
    <n v="19000"/>
    <n v="57000"/>
    <n v="8500"/>
    <n v="65500"/>
    <s v="Chiba"/>
  </r>
  <r>
    <x v="434"/>
    <x v="244"/>
    <x v="434"/>
    <d v="2025-11-22T06:28:39"/>
    <d v="2025-11-27T06:28:39"/>
    <n v="5"/>
    <x v="2"/>
    <x v="0"/>
    <x v="1"/>
    <x v="2"/>
    <n v="17000"/>
    <n v="85000"/>
    <n v="7000"/>
    <n v="92000"/>
    <s v="Osaka"/>
  </r>
  <r>
    <x v="435"/>
    <x v="168"/>
    <x v="435"/>
    <d v="2025-11-04T14:00:40"/>
    <d v="2025-11-09T14:00:40"/>
    <n v="5"/>
    <x v="1"/>
    <x v="1"/>
    <x v="1"/>
    <x v="1"/>
    <n v="13000"/>
    <n v="65000"/>
    <n v="5000"/>
    <n v="70000"/>
    <s v="Tokyo"/>
  </r>
  <r>
    <x v="436"/>
    <x v="113"/>
    <x v="436"/>
    <d v="2025-11-06T20:24:16"/>
    <d v="2025-11-08T20:24:16"/>
    <n v="2"/>
    <x v="2"/>
    <x v="1"/>
    <x v="2"/>
    <x v="0"/>
    <n v="18000"/>
    <n v="36000"/>
    <n v="3500"/>
    <n v="39500"/>
    <s v="Chiba"/>
  </r>
  <r>
    <x v="437"/>
    <x v="196"/>
    <x v="437"/>
    <d v="2025-11-06T17:32:32"/>
    <d v="2025-11-08T17:32:32"/>
    <n v="2"/>
    <x v="2"/>
    <x v="1"/>
    <x v="1"/>
    <x v="2"/>
    <n v="17000"/>
    <n v="34000"/>
    <n v="7000"/>
    <n v="41000"/>
    <s v="Nagoya"/>
  </r>
  <r>
    <x v="438"/>
    <x v="233"/>
    <x v="438"/>
    <d v="2025-11-15T11:13:51"/>
    <d v="2025-11-18T11:13:51"/>
    <n v="3"/>
    <x v="1"/>
    <x v="1"/>
    <x v="0"/>
    <x v="0"/>
    <n v="12000"/>
    <n v="36000"/>
    <n v="7500"/>
    <n v="43500"/>
    <s v="Nagoya"/>
  </r>
  <r>
    <x v="439"/>
    <x v="61"/>
    <x v="439"/>
    <d v="2025-11-13T21:54:24"/>
    <d v="2025-11-15T21:54:24"/>
    <n v="2"/>
    <x v="2"/>
    <x v="1"/>
    <x v="2"/>
    <x v="3"/>
    <n v="17000"/>
    <n v="34000"/>
    <n v="5500"/>
    <n v="39500"/>
    <s v="Saitama"/>
  </r>
  <r>
    <x v="440"/>
    <x v="53"/>
    <x v="440"/>
    <d v="2025-11-18T00:35:56"/>
    <d v="2025-11-20T00:35:56"/>
    <n v="2"/>
    <x v="1"/>
    <x v="0"/>
    <x v="2"/>
    <x v="2"/>
    <n v="11000"/>
    <n v="22000"/>
    <n v="6000"/>
    <n v="28000"/>
    <s v="Osaka"/>
  </r>
  <r>
    <x v="441"/>
    <x v="2"/>
    <x v="441"/>
    <d v="2025-12-01T09:13:38"/>
    <d v="2025-12-04T09:13:38"/>
    <n v="3"/>
    <x v="2"/>
    <x v="1"/>
    <x v="1"/>
    <x v="2"/>
    <n v="17000"/>
    <n v="51000"/>
    <n v="7000"/>
    <n v="58000"/>
    <s v="Nagoya"/>
  </r>
  <r>
    <x v="442"/>
    <x v="245"/>
    <x v="442"/>
    <d v="2025-11-24T01:25:57"/>
    <d v="2025-11-28T01:25:57"/>
    <n v="4"/>
    <x v="1"/>
    <x v="0"/>
    <x v="1"/>
    <x v="1"/>
    <n v="12000"/>
    <n v="48000"/>
    <n v="15000"/>
    <n v="63000"/>
    <s v="Nagoya"/>
  </r>
  <r>
    <x v="443"/>
    <x v="107"/>
    <x v="443"/>
    <d v="2025-11-27T06:43:38"/>
    <d v="2025-12-02T06:43:38"/>
    <n v="5"/>
    <x v="1"/>
    <x v="0"/>
    <x v="1"/>
    <x v="0"/>
    <n v="11000"/>
    <n v="55000"/>
    <n v="3500"/>
    <n v="58500"/>
    <s v="Yokohama"/>
  </r>
  <r>
    <x v="444"/>
    <x v="246"/>
    <x v="444"/>
    <d v="2025-11-12T16:08:21"/>
    <d v="2025-11-15T16:08:21"/>
    <n v="3"/>
    <x v="1"/>
    <x v="1"/>
    <x v="1"/>
    <x v="3"/>
    <n v="11000"/>
    <n v="33000"/>
    <n v="12000"/>
    <n v="45000"/>
    <s v="Yokohama"/>
  </r>
  <r>
    <x v="445"/>
    <x v="27"/>
    <x v="445"/>
    <d v="2025-11-30T06:54:01"/>
    <d v="2025-12-01T06:54:01"/>
    <n v="1"/>
    <x v="2"/>
    <x v="0"/>
    <x v="1"/>
    <x v="1"/>
    <n v="19000"/>
    <n v="19000"/>
    <n v="5500"/>
    <n v="24500"/>
    <s v="Chiba"/>
  </r>
  <r>
    <x v="446"/>
    <x v="122"/>
    <x v="446"/>
    <d v="2025-11-21T08:45:23"/>
    <d v="2025-11-28T08:45:23"/>
    <n v="7"/>
    <x v="1"/>
    <x v="1"/>
    <x v="1"/>
    <x v="0"/>
    <n v="12000"/>
    <n v="84000"/>
    <n v="6500"/>
    <n v="90500"/>
    <s v="Yokohama"/>
  </r>
  <r>
    <x v="447"/>
    <x v="18"/>
    <x v="447"/>
    <d v="2025-11-26T09:54:22"/>
    <d v="2025-11-28T09:54:22"/>
    <n v="2"/>
    <x v="2"/>
    <x v="0"/>
    <x v="2"/>
    <x v="0"/>
    <n v="18000"/>
    <n v="36000"/>
    <n v="5500"/>
    <n v="41500"/>
    <s v="Chiba"/>
  </r>
  <r>
    <x v="448"/>
    <x v="97"/>
    <x v="448"/>
    <d v="2025-11-08T22:30:42"/>
    <d v="2025-11-11T22:30:42"/>
    <n v="3"/>
    <x v="2"/>
    <x v="1"/>
    <x v="1"/>
    <x v="0"/>
    <n v="19000"/>
    <n v="57000"/>
    <n v="6000"/>
    <n v="63000"/>
    <s v="Saitama"/>
  </r>
  <r>
    <x v="449"/>
    <x v="221"/>
    <x v="449"/>
    <d v="2025-11-15T17:06:12"/>
    <d v="2025-11-18T17:06:12"/>
    <n v="3"/>
    <x v="0"/>
    <x v="0"/>
    <x v="2"/>
    <x v="0"/>
    <n v="30000"/>
    <n v="90000"/>
    <n v="9000"/>
    <n v="99000"/>
    <s v="Nagoya"/>
  </r>
  <r>
    <x v="450"/>
    <x v="247"/>
    <x v="450"/>
    <d v="2025-11-21T11:13:12"/>
    <d v="2025-11-28T11:13:12"/>
    <n v="7"/>
    <x v="2"/>
    <x v="1"/>
    <x v="1"/>
    <x v="0"/>
    <n v="17000"/>
    <n v="119000"/>
    <n v="6500"/>
    <n v="125500"/>
    <s v="Chiba"/>
  </r>
  <r>
    <x v="451"/>
    <x v="248"/>
    <x v="451"/>
    <d v="2025-12-05T19:31:37"/>
    <d v="2025-12-08T19:31:37"/>
    <n v="3"/>
    <x v="1"/>
    <x v="1"/>
    <x v="2"/>
    <x v="0"/>
    <n v="11000"/>
    <n v="33000"/>
    <n v="7500"/>
    <n v="40500"/>
    <s v="Tokyo"/>
  </r>
  <r>
    <x v="452"/>
    <x v="197"/>
    <x v="452"/>
    <d v="2025-12-01T12:03:40"/>
    <d v="2025-12-06T12:03:40"/>
    <n v="5"/>
    <x v="2"/>
    <x v="0"/>
    <x v="0"/>
    <x v="3"/>
    <n v="18000"/>
    <n v="90000"/>
    <n v="11000"/>
    <n v="101000"/>
    <s v="Tokyo"/>
  </r>
  <r>
    <x v="453"/>
    <x v="50"/>
    <x v="453"/>
    <d v="2025-12-11T12:56:15"/>
    <d v="2025-12-17T12:56:15"/>
    <n v="6"/>
    <x v="1"/>
    <x v="0"/>
    <x v="1"/>
    <x v="1"/>
    <n v="12000"/>
    <n v="72000"/>
    <n v="3500"/>
    <n v="75500"/>
    <s v="Osaka"/>
  </r>
  <r>
    <x v="454"/>
    <x v="66"/>
    <x v="454"/>
    <d v="2025-11-27T08:15:52"/>
    <d v="2025-11-29T08:15:52"/>
    <n v="2"/>
    <x v="1"/>
    <x v="1"/>
    <x v="2"/>
    <x v="0"/>
    <n v="11000"/>
    <n v="22000"/>
    <n v="3500"/>
    <n v="25500"/>
    <s v="Nagoya"/>
  </r>
  <r>
    <x v="455"/>
    <x v="30"/>
    <x v="455"/>
    <d v="2025-12-09T14:35:28"/>
    <d v="2025-12-10T14:35:28"/>
    <n v="1"/>
    <x v="1"/>
    <x v="0"/>
    <x v="1"/>
    <x v="3"/>
    <n v="11000"/>
    <n v="11000"/>
    <n v="8500"/>
    <n v="19500"/>
    <s v="Tokyo"/>
  </r>
  <r>
    <x v="456"/>
    <x v="136"/>
    <x v="456"/>
    <d v="2025-11-23T16:07:24"/>
    <d v="2025-11-26T16:07:24"/>
    <n v="3"/>
    <x v="0"/>
    <x v="0"/>
    <x v="1"/>
    <x v="1"/>
    <n v="30000"/>
    <n v="90000"/>
    <n v="10500"/>
    <n v="100500"/>
    <s v="Chiba"/>
  </r>
  <r>
    <x v="457"/>
    <x v="249"/>
    <x v="457"/>
    <d v="2025-12-11T16:54:53"/>
    <d v="2025-12-18T16:54:53"/>
    <n v="7"/>
    <x v="1"/>
    <x v="0"/>
    <x v="1"/>
    <x v="0"/>
    <n v="13000"/>
    <n v="91000"/>
    <n v="0"/>
    <n v="91000"/>
    <s v="Tokyo"/>
  </r>
  <r>
    <x v="458"/>
    <x v="250"/>
    <x v="458"/>
    <d v="2025-11-22T17:57:27"/>
    <d v="2025-11-29T17:57:27"/>
    <n v="7"/>
    <x v="2"/>
    <x v="1"/>
    <x v="0"/>
    <x v="2"/>
    <n v="19000"/>
    <n v="133000"/>
    <n v="4000"/>
    <n v="137000"/>
    <s v="Nagoya"/>
  </r>
  <r>
    <x v="459"/>
    <x v="58"/>
    <x v="459"/>
    <d v="2025-11-19T13:20:03"/>
    <d v="2025-11-24T13:20:03"/>
    <n v="5"/>
    <x v="1"/>
    <x v="1"/>
    <x v="1"/>
    <x v="2"/>
    <n v="12000"/>
    <n v="60000"/>
    <n v="4500"/>
    <n v="64500"/>
    <s v="Yokohama"/>
  </r>
  <r>
    <x v="460"/>
    <x v="214"/>
    <x v="460"/>
    <d v="2025-12-16T12:54:59"/>
    <d v="2025-12-19T12:54:59"/>
    <n v="3"/>
    <x v="2"/>
    <x v="1"/>
    <x v="1"/>
    <x v="0"/>
    <n v="19000"/>
    <n v="57000"/>
    <n v="9000"/>
    <n v="66000"/>
    <s v="Osaka"/>
  </r>
  <r>
    <x v="461"/>
    <x v="108"/>
    <x v="461"/>
    <d v="2025-12-15T18:55:18"/>
    <d v="2025-12-16T18:55:18"/>
    <n v="1"/>
    <x v="0"/>
    <x v="1"/>
    <x v="1"/>
    <x v="0"/>
    <n v="30000"/>
    <n v="30000"/>
    <n v="7000"/>
    <n v="37000"/>
    <s v="Nagoya"/>
  </r>
  <r>
    <x v="462"/>
    <x v="251"/>
    <x v="462"/>
    <d v="2025-12-18T21:43:35"/>
    <d v="2025-12-20T21:43:35"/>
    <n v="2"/>
    <x v="2"/>
    <x v="1"/>
    <x v="1"/>
    <x v="0"/>
    <n v="19000"/>
    <n v="38000"/>
    <n v="11000"/>
    <n v="49000"/>
    <s v="Tokyo"/>
  </r>
  <r>
    <x v="463"/>
    <x v="11"/>
    <x v="463"/>
    <d v="2025-12-05T09:02:41"/>
    <d v="2025-12-07T09:02:41"/>
    <n v="2"/>
    <x v="0"/>
    <x v="0"/>
    <x v="1"/>
    <x v="3"/>
    <n v="30000"/>
    <n v="60000"/>
    <n v="14000"/>
    <n v="74000"/>
    <s v="Nagoya"/>
  </r>
  <r>
    <x v="464"/>
    <x v="137"/>
    <x v="464"/>
    <d v="2025-12-17T22:31:37"/>
    <d v="2025-12-21T22:31:37"/>
    <n v="4"/>
    <x v="1"/>
    <x v="1"/>
    <x v="1"/>
    <x v="2"/>
    <n v="12000"/>
    <n v="48000"/>
    <n v="7500"/>
    <n v="55500"/>
    <s v="Osaka"/>
  </r>
  <r>
    <x v="465"/>
    <x v="109"/>
    <x v="465"/>
    <d v="2025-12-05T01:08:02"/>
    <d v="2025-12-07T01:08:02"/>
    <n v="2"/>
    <x v="2"/>
    <x v="0"/>
    <x v="2"/>
    <x v="2"/>
    <n v="19000"/>
    <n v="38000"/>
    <n v="3000"/>
    <n v="41000"/>
    <s v="Nagoya"/>
  </r>
  <r>
    <x v="466"/>
    <x v="56"/>
    <x v="466"/>
    <d v="2025-11-29T13:05:17"/>
    <d v="2025-12-06T13:05:17"/>
    <n v="7"/>
    <x v="1"/>
    <x v="1"/>
    <x v="1"/>
    <x v="2"/>
    <n v="12000"/>
    <n v="84000"/>
    <n v="6500"/>
    <n v="90500"/>
    <s v="Osaka"/>
  </r>
  <r>
    <x v="467"/>
    <x v="123"/>
    <x v="467"/>
    <d v="2025-11-26T02:04:22"/>
    <d v="2025-12-01T02:04:22"/>
    <n v="5"/>
    <x v="1"/>
    <x v="0"/>
    <x v="1"/>
    <x v="0"/>
    <n v="11000"/>
    <n v="55000"/>
    <n v="9500"/>
    <n v="64500"/>
    <s v="Saitama"/>
  </r>
  <r>
    <x v="468"/>
    <x v="252"/>
    <x v="468"/>
    <d v="2025-12-23T03:59:44"/>
    <d v="2025-12-25T03:59:44"/>
    <n v="2"/>
    <x v="2"/>
    <x v="0"/>
    <x v="1"/>
    <x v="2"/>
    <n v="17000"/>
    <n v="34000"/>
    <n v="3000"/>
    <n v="37000"/>
    <s v="Chiba"/>
  </r>
  <r>
    <x v="469"/>
    <x v="133"/>
    <x v="469"/>
    <d v="2025-12-19T00:45:07"/>
    <d v="2025-12-22T00:45:07"/>
    <n v="3"/>
    <x v="1"/>
    <x v="1"/>
    <x v="0"/>
    <x v="0"/>
    <n v="12000"/>
    <n v="36000"/>
    <n v="8000"/>
    <n v="44000"/>
    <s v="Saitama"/>
  </r>
  <r>
    <x v="470"/>
    <x v="253"/>
    <x v="470"/>
    <d v="2025-12-10T02:22:19"/>
    <d v="2025-12-13T02:22:19"/>
    <n v="3"/>
    <x v="2"/>
    <x v="1"/>
    <x v="0"/>
    <x v="0"/>
    <n v="19000"/>
    <n v="57000"/>
    <n v="4000"/>
    <n v="61000"/>
    <s v="Osaka"/>
  </r>
  <r>
    <x v="471"/>
    <x v="254"/>
    <x v="471"/>
    <d v="2025-12-10T09:10:44"/>
    <d v="2025-12-14T09:10:44"/>
    <n v="4"/>
    <x v="0"/>
    <x v="1"/>
    <x v="1"/>
    <x v="0"/>
    <n v="29000"/>
    <n v="116000"/>
    <n v="4000"/>
    <n v="120000"/>
    <s v="Osaka"/>
  </r>
  <r>
    <x v="472"/>
    <x v="255"/>
    <x v="472"/>
    <d v="2025-12-21T14:23:31"/>
    <d v="2025-12-22T14:23:31"/>
    <n v="1"/>
    <x v="2"/>
    <x v="1"/>
    <x v="1"/>
    <x v="0"/>
    <n v="18000"/>
    <n v="18000"/>
    <n v="10500"/>
    <n v="28500"/>
    <s v="Tokyo"/>
  </r>
  <r>
    <x v="473"/>
    <x v="33"/>
    <x v="473"/>
    <d v="2025-12-16T03:09:03"/>
    <d v="2025-12-22T03:09:03"/>
    <n v="6"/>
    <x v="2"/>
    <x v="1"/>
    <x v="0"/>
    <x v="0"/>
    <n v="19000"/>
    <n v="114000"/>
    <n v="6500"/>
    <n v="120500"/>
    <s v="Chiba"/>
  </r>
  <r>
    <x v="474"/>
    <x v="104"/>
    <x v="474"/>
    <d v="2025-12-14T05:28:28"/>
    <d v="2025-12-17T05:28:28"/>
    <n v="3"/>
    <x v="1"/>
    <x v="1"/>
    <x v="1"/>
    <x v="1"/>
    <n v="13000"/>
    <n v="39000"/>
    <n v="9000"/>
    <n v="48000"/>
    <s v="Osaka"/>
  </r>
  <r>
    <x v="475"/>
    <x v="210"/>
    <x v="475"/>
    <d v="2025-12-25T11:45:56"/>
    <d v="2025-12-28T11:45:56"/>
    <n v="3"/>
    <x v="2"/>
    <x v="1"/>
    <x v="1"/>
    <x v="1"/>
    <n v="17000"/>
    <n v="51000"/>
    <n v="9000"/>
    <n v="60000"/>
    <s v="Osaka"/>
  </r>
  <r>
    <x v="476"/>
    <x v="16"/>
    <x v="476"/>
    <d v="2025-12-13T08:19:49"/>
    <d v="2025-12-19T08:19:49"/>
    <n v="6"/>
    <x v="1"/>
    <x v="0"/>
    <x v="2"/>
    <x v="3"/>
    <n v="12000"/>
    <n v="72000"/>
    <n v="4000"/>
    <n v="76000"/>
    <s v="Osaka"/>
  </r>
  <r>
    <x v="477"/>
    <x v="209"/>
    <x v="477"/>
    <d v="2025-12-05T12:09:21"/>
    <d v="2025-12-07T12:09:21"/>
    <n v="2"/>
    <x v="2"/>
    <x v="1"/>
    <x v="2"/>
    <x v="0"/>
    <n v="18000"/>
    <n v="36000"/>
    <n v="500"/>
    <n v="36500"/>
    <s v="Nagoya"/>
  </r>
  <r>
    <x v="478"/>
    <x v="122"/>
    <x v="478"/>
    <d v="2025-12-23T17:31:33"/>
    <d v="2025-12-26T17:31:33"/>
    <n v="3"/>
    <x v="0"/>
    <x v="0"/>
    <x v="0"/>
    <x v="3"/>
    <n v="30000"/>
    <n v="90000"/>
    <n v="3000"/>
    <n v="93000"/>
    <s v="Saitama"/>
  </r>
  <r>
    <x v="479"/>
    <x v="185"/>
    <x v="479"/>
    <d v="2025-12-16T13:08:36"/>
    <d v="2025-12-21T13:08:36"/>
    <n v="5"/>
    <x v="1"/>
    <x v="0"/>
    <x v="1"/>
    <x v="2"/>
    <n v="13000"/>
    <n v="65000"/>
    <n v="2500"/>
    <n v="67500"/>
    <s v="Yokohama"/>
  </r>
  <r>
    <x v="480"/>
    <x v="256"/>
    <x v="480"/>
    <d v="2025-12-28T16:34:44"/>
    <d v="2025-12-31T16:34:44"/>
    <n v="3"/>
    <x v="2"/>
    <x v="1"/>
    <x v="0"/>
    <x v="0"/>
    <n v="19000"/>
    <n v="57000"/>
    <n v="7500"/>
    <n v="64500"/>
    <s v="Saitama"/>
  </r>
  <r>
    <x v="481"/>
    <x v="257"/>
    <x v="481"/>
    <d v="2025-12-27T15:47:07"/>
    <d v="2026-01-01T15:47:07"/>
    <n v="5"/>
    <x v="2"/>
    <x v="1"/>
    <x v="2"/>
    <x v="0"/>
    <n v="18000"/>
    <n v="90000"/>
    <n v="12000"/>
    <n v="102000"/>
    <s v="Osaka"/>
  </r>
  <r>
    <x v="482"/>
    <x v="251"/>
    <x v="482"/>
    <d v="2025-12-16T06:28:01"/>
    <d v="2025-12-19T06:28:01"/>
    <n v="3"/>
    <x v="1"/>
    <x v="1"/>
    <x v="0"/>
    <x v="0"/>
    <n v="13000"/>
    <n v="39000"/>
    <n v="9000"/>
    <n v="48000"/>
    <s v="Yokohama"/>
  </r>
  <r>
    <x v="483"/>
    <x v="120"/>
    <x v="483"/>
    <d v="2025-12-22T23:14:12"/>
    <d v="2025-12-25T23:14:12"/>
    <n v="3"/>
    <x v="1"/>
    <x v="1"/>
    <x v="0"/>
    <x v="3"/>
    <n v="11000"/>
    <n v="33000"/>
    <n v="11000"/>
    <n v="44000"/>
    <s v="Nagoya"/>
  </r>
  <r>
    <x v="484"/>
    <x v="258"/>
    <x v="484"/>
    <d v="2025-12-19T07:23:04"/>
    <d v="2025-12-21T07:23:04"/>
    <n v="2"/>
    <x v="1"/>
    <x v="0"/>
    <x v="0"/>
    <x v="0"/>
    <n v="13000"/>
    <n v="26000"/>
    <n v="1500"/>
    <n v="27500"/>
    <s v="Chiba"/>
  </r>
  <r>
    <x v="485"/>
    <x v="63"/>
    <x v="485"/>
    <d v="2025-12-14T12:31:58"/>
    <d v="2025-12-15T12:31:58"/>
    <n v="1"/>
    <x v="2"/>
    <x v="0"/>
    <x v="2"/>
    <x v="3"/>
    <n v="17000"/>
    <n v="17000"/>
    <n v="0"/>
    <n v="17000"/>
    <s v="Saitama"/>
  </r>
  <r>
    <x v="486"/>
    <x v="106"/>
    <x v="486"/>
    <d v="2025-12-10T16:58:46"/>
    <d v="2025-12-12T16:58:46"/>
    <n v="2"/>
    <x v="1"/>
    <x v="1"/>
    <x v="0"/>
    <x v="0"/>
    <n v="12000"/>
    <n v="24000"/>
    <n v="2000"/>
    <n v="26000"/>
    <s v="Saitama"/>
  </r>
  <r>
    <x v="487"/>
    <x v="132"/>
    <x v="487"/>
    <d v="2025-12-24T10:10:59"/>
    <d v="2025-12-29T10:10:59"/>
    <n v="5"/>
    <x v="1"/>
    <x v="1"/>
    <x v="1"/>
    <x v="0"/>
    <n v="11000"/>
    <n v="55000"/>
    <n v="3500"/>
    <n v="58500"/>
    <s v="Saitama"/>
  </r>
  <r>
    <x v="488"/>
    <x v="259"/>
    <x v="488"/>
    <d v="2025-12-26T21:06:54"/>
    <d v="2025-12-27T21:06:54"/>
    <n v="1"/>
    <x v="1"/>
    <x v="1"/>
    <x v="1"/>
    <x v="0"/>
    <n v="11000"/>
    <n v="11000"/>
    <n v="15500"/>
    <n v="26500"/>
    <s v="Tokyo"/>
  </r>
  <r>
    <x v="489"/>
    <x v="260"/>
    <x v="489"/>
    <d v="2025-12-26T21:31:17"/>
    <d v="2025-12-30T21:31:17"/>
    <n v="4"/>
    <x v="1"/>
    <x v="0"/>
    <x v="1"/>
    <x v="1"/>
    <n v="12000"/>
    <n v="48000"/>
    <n v="11500"/>
    <n v="59500"/>
    <s v="Chiba"/>
  </r>
  <r>
    <x v="490"/>
    <x v="261"/>
    <x v="490"/>
    <d v="2025-12-20T12:40:04"/>
    <d v="2025-12-24T12:40:04"/>
    <n v="4"/>
    <x v="1"/>
    <x v="1"/>
    <x v="0"/>
    <x v="2"/>
    <n v="12000"/>
    <n v="48000"/>
    <n v="7500"/>
    <n v="55500"/>
    <s v="Saitama"/>
  </r>
  <r>
    <x v="491"/>
    <x v="109"/>
    <x v="491"/>
    <d v="2025-12-31T16:16:28"/>
    <d v="2026-01-03T16:16:28"/>
    <n v="3"/>
    <x v="2"/>
    <x v="1"/>
    <x v="0"/>
    <x v="1"/>
    <n v="18000"/>
    <n v="54000"/>
    <n v="4000"/>
    <n v="58000"/>
    <s v="Osaka"/>
  </r>
  <r>
    <x v="492"/>
    <x v="122"/>
    <x v="492"/>
    <d v="2025-12-23T01:51:08"/>
    <d v="2025-12-28T01:51:08"/>
    <n v="5"/>
    <x v="2"/>
    <x v="1"/>
    <x v="0"/>
    <x v="2"/>
    <n v="18000"/>
    <n v="90000"/>
    <n v="10000"/>
    <n v="100000"/>
    <s v="Tokyo"/>
  </r>
  <r>
    <x v="493"/>
    <x v="41"/>
    <x v="493"/>
    <d v="2025-12-22T18:48:34"/>
    <d v="2025-12-28T18:48:34"/>
    <n v="6"/>
    <x v="1"/>
    <x v="0"/>
    <x v="1"/>
    <x v="1"/>
    <n v="11000"/>
    <n v="66000"/>
    <n v="1500"/>
    <n v="67500"/>
    <s v="Chiba"/>
  </r>
  <r>
    <x v="494"/>
    <x v="94"/>
    <x v="494"/>
    <d v="2026-01-07T05:04:40"/>
    <d v="2026-01-10T05:04:40"/>
    <n v="3"/>
    <x v="2"/>
    <x v="0"/>
    <x v="2"/>
    <x v="1"/>
    <n v="17000"/>
    <n v="51000"/>
    <n v="6000"/>
    <n v="57000"/>
    <s v="Saitama"/>
  </r>
  <r>
    <x v="495"/>
    <x v="232"/>
    <x v="495"/>
    <d v="2025-12-14T00:22:34"/>
    <d v="2025-12-18T00:22:34"/>
    <n v="4"/>
    <x v="2"/>
    <x v="0"/>
    <x v="1"/>
    <x v="3"/>
    <n v="18000"/>
    <n v="72000"/>
    <n v="4000"/>
    <n v="76000"/>
    <s v="Osaka"/>
  </r>
  <r>
    <x v="496"/>
    <x v="123"/>
    <x v="496"/>
    <d v="2025-12-16T10:57:03"/>
    <d v="2025-12-18T10:57:03"/>
    <n v="2"/>
    <x v="1"/>
    <x v="1"/>
    <x v="2"/>
    <x v="2"/>
    <n v="12000"/>
    <n v="24000"/>
    <n v="5500"/>
    <n v="29500"/>
    <s v="Tokyo"/>
  </r>
  <r>
    <x v="497"/>
    <x v="108"/>
    <x v="497"/>
    <d v="2025-12-15T22:36:18"/>
    <d v="2025-12-18T22:36:18"/>
    <n v="3"/>
    <x v="2"/>
    <x v="0"/>
    <x v="0"/>
    <x v="1"/>
    <n v="17000"/>
    <n v="51000"/>
    <n v="12000"/>
    <n v="63000"/>
    <s v="Chiba"/>
  </r>
  <r>
    <x v="498"/>
    <x v="218"/>
    <x v="498"/>
    <d v="2025-12-25T16:21:42"/>
    <d v="2025-12-29T16:21:42"/>
    <n v="4"/>
    <x v="0"/>
    <x v="1"/>
    <x v="1"/>
    <x v="3"/>
    <n v="30000"/>
    <n v="120000"/>
    <n v="9000"/>
    <n v="129000"/>
    <s v="Saitama"/>
  </r>
  <r>
    <x v="499"/>
    <x v="29"/>
    <x v="499"/>
    <d v="2026-01-09T22:17:11"/>
    <d v="2026-01-11T22:17:11"/>
    <n v="2"/>
    <x v="1"/>
    <x v="0"/>
    <x v="2"/>
    <x v="0"/>
    <n v="12000"/>
    <n v="24000"/>
    <n v="6000"/>
    <n v="30000"/>
    <s v="Yokoham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C3F044-4EBD-4CDA-96E9-617DEA5F9865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Total_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1C2CC5-3833-4E93-980C-9E400BC39F88}" name="ピボットテーブル2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dataField="1"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個数 /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E3034-EBC2-4ADF-9B98-E5558C903796}" name="ピボットテーブル3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7" firstHeaderRow="1" firstDataRow="1" firstDataCol="1"/>
  <pivotFields count="16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平均 / Total_Revenue" fld="1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3058E5-4ACE-4BE3-983B-A9BB342F4FB1}" name="ピボットテーブル4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C6" firstHeaderRow="0" firstDataRow="1" firstDataCol="1"/>
  <pivotFields count="16">
    <pivotField dataField="1"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個数 / Booking_ID" fld="0" subtotal="count" baseField="7" baseItem="0"/>
    <dataField name="合計 / Total_Revenue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FD5B9-F0DC-4059-8F9D-94AE5236C560}" name="ピボットテーブル5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16">
    <pivotField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Total_Revenue" fld="1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2DC80-4F12-45F8-B56D-562014586883}" name="ピボットテーブル6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10">
  <location ref="A3:B516" firstHeaderRow="1" firstDataRow="1" firstDataCol="1"/>
  <pivotFields count="16">
    <pivotField showAll="0"/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2"/>
  </rowFields>
  <rowItems count="51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2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3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4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>
      <x v="5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>
      <x v="6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>
      <x v="7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>
      <x v="8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>
      <x v="9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>
      <x v="10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>
      <x v="11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>
      <x v="12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t="grand">
      <x/>
    </i>
  </rowItems>
  <colItems count="1">
    <i/>
  </colItems>
  <dataFields count="1">
    <dataField name="合計 / Total_Revenue" fld="13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59AAD-5BD6-42A7-9865-6671939536F7}" name="ピボットテーブル7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516" firstHeaderRow="1" firstDataRow="1" firstDataCol="1"/>
  <pivotFields count="16">
    <pivotField dataField="1" showAll="0"/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2"/>
  </rowFields>
  <rowItems count="51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2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3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4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>
      <x v="5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>
      <x v="6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>
      <x v="7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>
      <x v="8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>
      <x v="9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>
      <x v="10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>
      <x v="11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>
      <x v="12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t="grand">
      <x/>
    </i>
  </rowItems>
  <colItems count="1">
    <i/>
  </colItems>
  <dataFields count="1">
    <dataField name="個数 / Booking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E2B3F-ACF4-4EA1-B085-E155465B53AA}" name="ピボットテーブル8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B516" firstHeaderRow="1" firstDataRow="1" firstDataCol="1"/>
  <pivotFields count="16">
    <pivotField showAll="0"/>
    <pivotField showAll="0"/>
    <pivotField axis="axisRow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15"/>
    <field x="2"/>
  </rowFields>
  <rowItems count="51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>
      <x v="2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>
      <x v="3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>
      <x v="4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>
      <x v="5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>
      <x v="6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>
      <x v="7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>
      <x v="8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>
      <x v="9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>
      <x v="10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>
      <x v="11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>
      <x v="12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t="grand">
      <x/>
    </i>
  </rowItems>
  <colItems count="1">
    <i/>
  </colItems>
  <dataFields count="1">
    <dataField name="平均 / Total_Revenue" fld="13" subtotal="average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987C5C-F404-443C-B467-97D9FE3743FC}" name="ピボットテーブル9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16">
    <pivotField dataField="1" showAll="0"/>
    <pivotField showAll="0"/>
    <pivotField axis="axisPage" numFmtId="14" multipleItemSelectionAllowed="1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個数 / Booking_ID" fld="0" subtotal="count" baseField="0" baseItem="0"/>
    <dataField name="合計 / Total_Revenue2" fld="13" baseField="0" baseItem="0"/>
    <dataField name="平均 / Total_Revenue" fld="13" subtotal="average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28CCD7-CE5D-4AF5-97D1-510B0DB29AD7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7" firstHeaderRow="0" firstDataRow="1" firstDataCol="1" rowPageCount="1" colPageCount="1"/>
  <pivotFields count="16">
    <pivotField dataField="1" showAll="0"/>
    <pivotField showAll="0"/>
    <pivotField axis="axisPage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個数 / Booking_ID" fld="0" subtotal="count" baseField="0" baseItem="0"/>
    <dataField name="合計 / Total_Revenue" fld="13" baseField="0" baseItem="0"/>
    <dataField name="平均 / Total_Revenue2" fld="13" subtotal="average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18CF7-0B27-4E27-A5C5-AD16F3A03283}" name="ピボットテーブル2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6" firstHeaderRow="0" firstDataRow="1" firstDataCol="1" rowPageCount="1" colPageCount="1"/>
  <pivotFields count="16">
    <pivotField dataField="1" showAll="0"/>
    <pivotField showAll="0"/>
    <pivotField axis="axisPage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個数 / Booking_ID" fld="0" subtotal="count" baseField="0" baseItem="0"/>
    <dataField name="合計 / Total_Revenue" fld="13" baseField="0" baseItem="0"/>
    <dataField name="平均 / Total_Revenue2" fld="13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939920-D4DB-46CD-84DB-EA87003EC90B}" name="ピボットテーブル3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4:D9" firstHeaderRow="0" firstDataRow="1" firstDataCol="1" rowPageCount="1" colPageCount="1"/>
  <pivotFields count="16">
    <pivotField dataField="1" showAll="0"/>
    <pivotField showAll="0">
      <items count="263">
        <item x="114"/>
        <item x="23"/>
        <item x="19"/>
        <item x="168"/>
        <item x="169"/>
        <item x="138"/>
        <item x="128"/>
        <item x="214"/>
        <item x="73"/>
        <item x="59"/>
        <item x="140"/>
        <item x="174"/>
        <item x="81"/>
        <item x="207"/>
        <item x="71"/>
        <item x="232"/>
        <item x="231"/>
        <item x="225"/>
        <item x="238"/>
        <item x="112"/>
        <item x="240"/>
        <item x="109"/>
        <item x="98"/>
        <item x="177"/>
        <item x="167"/>
        <item x="172"/>
        <item x="113"/>
        <item x="193"/>
        <item x="256"/>
        <item x="95"/>
        <item x="30"/>
        <item x="135"/>
        <item x="253"/>
        <item x="136"/>
        <item x="153"/>
        <item x="124"/>
        <item x="170"/>
        <item x="41"/>
        <item x="76"/>
        <item x="57"/>
        <item x="108"/>
        <item x="244"/>
        <item x="37"/>
        <item x="254"/>
        <item x="197"/>
        <item x="137"/>
        <item x="28"/>
        <item x="132"/>
        <item x="192"/>
        <item x="252"/>
        <item x="14"/>
        <item x="151"/>
        <item x="52"/>
        <item x="161"/>
        <item x="203"/>
        <item x="191"/>
        <item x="147"/>
        <item x="141"/>
        <item x="164"/>
        <item x="149"/>
        <item x="171"/>
        <item x="210"/>
        <item x="229"/>
        <item x="226"/>
        <item x="43"/>
        <item x="72"/>
        <item x="32"/>
        <item x="33"/>
        <item x="199"/>
        <item x="233"/>
        <item x="131"/>
        <item x="218"/>
        <item x="195"/>
        <item x="54"/>
        <item x="64"/>
        <item x="53"/>
        <item x="220"/>
        <item x="187"/>
        <item x="209"/>
        <item x="144"/>
        <item x="42"/>
        <item x="154"/>
        <item x="117"/>
        <item x="242"/>
        <item x="127"/>
        <item x="186"/>
        <item x="78"/>
        <item x="145"/>
        <item x="183"/>
        <item x="196"/>
        <item x="7"/>
        <item x="50"/>
        <item x="4"/>
        <item x="230"/>
        <item x="201"/>
        <item x="129"/>
        <item x="222"/>
        <item x="13"/>
        <item x="82"/>
        <item x="184"/>
        <item x="62"/>
        <item x="20"/>
        <item x="120"/>
        <item x="216"/>
        <item x="93"/>
        <item x="61"/>
        <item x="17"/>
        <item x="5"/>
        <item x="204"/>
        <item x="2"/>
        <item x="85"/>
        <item x="107"/>
        <item x="255"/>
        <item x="84"/>
        <item x="83"/>
        <item x="1"/>
        <item x="150"/>
        <item x="68"/>
        <item x="104"/>
        <item x="105"/>
        <item x="29"/>
        <item x="139"/>
        <item x="173"/>
        <item x="100"/>
        <item x="200"/>
        <item x="148"/>
        <item x="16"/>
        <item x="44"/>
        <item x="215"/>
        <item x="92"/>
        <item x="249"/>
        <item x="176"/>
        <item x="158"/>
        <item x="55"/>
        <item x="47"/>
        <item x="106"/>
        <item x="221"/>
        <item x="86"/>
        <item x="26"/>
        <item x="69"/>
        <item x="180"/>
        <item x="91"/>
        <item x="65"/>
        <item x="162"/>
        <item x="165"/>
        <item x="246"/>
        <item x="75"/>
        <item x="155"/>
        <item x="241"/>
        <item x="79"/>
        <item x="217"/>
        <item x="146"/>
        <item x="58"/>
        <item x="34"/>
        <item x="259"/>
        <item x="97"/>
        <item x="63"/>
        <item x="18"/>
        <item x="0"/>
        <item x="36"/>
        <item x="99"/>
        <item x="159"/>
        <item x="206"/>
        <item x="96"/>
        <item x="212"/>
        <item x="133"/>
        <item x="123"/>
        <item x="213"/>
        <item x="9"/>
        <item x="119"/>
        <item x="178"/>
        <item x="179"/>
        <item x="198"/>
        <item x="194"/>
        <item x="261"/>
        <item x="227"/>
        <item x="126"/>
        <item x="11"/>
        <item x="10"/>
        <item x="101"/>
        <item x="88"/>
        <item x="143"/>
        <item x="116"/>
        <item x="87"/>
        <item x="156"/>
        <item x="142"/>
        <item x="40"/>
        <item x="157"/>
        <item x="258"/>
        <item x="235"/>
        <item x="115"/>
        <item x="224"/>
        <item x="49"/>
        <item x="208"/>
        <item x="70"/>
        <item x="89"/>
        <item x="80"/>
        <item x="234"/>
        <item x="74"/>
        <item x="121"/>
        <item x="257"/>
        <item x="163"/>
        <item x="24"/>
        <item x="67"/>
        <item x="248"/>
        <item x="228"/>
        <item x="56"/>
        <item x="182"/>
        <item x="21"/>
        <item x="118"/>
        <item x="48"/>
        <item x="185"/>
        <item x="22"/>
        <item x="130"/>
        <item x="125"/>
        <item x="190"/>
        <item x="66"/>
        <item x="202"/>
        <item x="189"/>
        <item x="247"/>
        <item x="260"/>
        <item x="35"/>
        <item x="175"/>
        <item x="94"/>
        <item x="188"/>
        <item x="237"/>
        <item x="77"/>
        <item x="25"/>
        <item x="160"/>
        <item x="51"/>
        <item x="15"/>
        <item x="245"/>
        <item x="181"/>
        <item x="223"/>
        <item x="38"/>
        <item x="205"/>
        <item x="90"/>
        <item x="31"/>
        <item x="236"/>
        <item x="239"/>
        <item x="134"/>
        <item x="166"/>
        <item x="102"/>
        <item x="110"/>
        <item x="39"/>
        <item x="111"/>
        <item x="152"/>
        <item x="219"/>
        <item x="211"/>
        <item x="251"/>
        <item x="46"/>
        <item x="8"/>
        <item x="3"/>
        <item x="250"/>
        <item x="27"/>
        <item x="6"/>
        <item x="60"/>
        <item x="45"/>
        <item x="12"/>
        <item x="103"/>
        <item x="122"/>
        <item x="243"/>
        <item t="default"/>
      </items>
    </pivotField>
    <pivotField axis="axisPage"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showAll="0"/>
    <pivotField axis="axisRow" showAll="0">
      <items count="5">
        <item x="1"/>
        <item x="0"/>
        <item x="3"/>
        <item x="2"/>
        <item t="default"/>
      </items>
    </pivotField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hier="-1"/>
  </pageFields>
  <dataFields count="3">
    <dataField name="個数 / Booking_ID" fld="0" subtotal="count" baseField="0" baseItem="0"/>
    <dataField name="合計 / Total_Revenue" fld="13" baseField="0" baseItem="0"/>
    <dataField name="平均 / Total_Revenue2" fld="13" subtotal="average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D658A8-FEC6-4692-A124-654C5D2E9673}" name="ピボットテーブル1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16">
    <pivotField showAll="0">
      <items count="501">
        <item x="34"/>
        <item x="492"/>
        <item x="271"/>
        <item x="165"/>
        <item x="197"/>
        <item x="50"/>
        <item x="78"/>
        <item x="248"/>
        <item x="44"/>
        <item x="63"/>
        <item x="462"/>
        <item x="193"/>
        <item x="84"/>
        <item x="146"/>
        <item x="337"/>
        <item x="149"/>
        <item x="213"/>
        <item x="42"/>
        <item x="286"/>
        <item x="71"/>
        <item x="394"/>
        <item x="109"/>
        <item x="332"/>
        <item x="296"/>
        <item x="495"/>
        <item x="185"/>
        <item x="9"/>
        <item x="51"/>
        <item x="292"/>
        <item x="471"/>
        <item x="474"/>
        <item x="59"/>
        <item x="82"/>
        <item x="405"/>
        <item x="120"/>
        <item x="43"/>
        <item x="434"/>
        <item x="159"/>
        <item x="410"/>
        <item x="437"/>
        <item x="367"/>
        <item x="453"/>
        <item x="200"/>
        <item x="345"/>
        <item x="1"/>
        <item x="219"/>
        <item x="181"/>
        <item x="350"/>
        <item x="80"/>
        <item x="490"/>
        <item x="315"/>
        <item x="12"/>
        <item x="62"/>
        <item x="403"/>
        <item x="329"/>
        <item x="288"/>
        <item x="118"/>
        <item x="204"/>
        <item x="305"/>
        <item x="230"/>
        <item x="383"/>
        <item x="320"/>
        <item x="438"/>
        <item x="484"/>
        <item x="55"/>
        <item x="355"/>
        <item x="448"/>
        <item x="455"/>
        <item x="472"/>
        <item x="223"/>
        <item x="396"/>
        <item x="494"/>
        <item x="252"/>
        <item x="391"/>
        <item x="249"/>
        <item x="486"/>
        <item x="273"/>
        <item x="341"/>
        <item x="354"/>
        <item x="386"/>
        <item x="426"/>
        <item x="235"/>
        <item x="60"/>
        <item x="488"/>
        <item x="376"/>
        <item x="237"/>
        <item x="416"/>
        <item x="306"/>
        <item x="64"/>
        <item x="36"/>
        <item x="487"/>
        <item x="48"/>
        <item x="137"/>
        <item x="177"/>
        <item x="65"/>
        <item x="187"/>
        <item x="4"/>
        <item x="39"/>
        <item x="302"/>
        <item x="384"/>
        <item x="95"/>
        <item x="164"/>
        <item x="400"/>
        <item x="212"/>
        <item x="279"/>
        <item x="198"/>
        <item x="89"/>
        <item x="300"/>
        <item x="199"/>
        <item x="352"/>
        <item x="491"/>
        <item x="201"/>
        <item x="175"/>
        <item x="35"/>
        <item x="275"/>
        <item x="73"/>
        <item x="74"/>
        <item x="190"/>
        <item x="429"/>
        <item x="313"/>
        <item x="414"/>
        <item x="283"/>
        <item x="183"/>
        <item x="435"/>
        <item x="117"/>
        <item x="98"/>
        <item x="233"/>
        <item x="428"/>
        <item x="243"/>
        <item x="401"/>
        <item x="480"/>
        <item x="476"/>
        <item x="166"/>
        <item x="240"/>
        <item x="281"/>
        <item x="257"/>
        <item x="392"/>
        <item x="18"/>
        <item x="170"/>
        <item x="147"/>
        <item x="111"/>
        <item x="125"/>
        <item x="425"/>
        <item x="251"/>
        <item x="460"/>
        <item x="96"/>
        <item x="365"/>
        <item x="393"/>
        <item x="370"/>
        <item x="276"/>
        <item x="220"/>
        <item x="277"/>
        <item x="148"/>
        <item x="172"/>
        <item x="464"/>
        <item x="7"/>
        <item x="156"/>
        <item x="139"/>
        <item x="342"/>
        <item x="31"/>
        <item x="274"/>
        <item x="264"/>
        <item x="482"/>
        <item x="87"/>
        <item x="123"/>
        <item x="469"/>
        <item x="126"/>
        <item x="119"/>
        <item x="21"/>
        <item x="186"/>
        <item x="57"/>
        <item x="152"/>
        <item x="287"/>
        <item x="104"/>
        <item x="382"/>
        <item x="236"/>
        <item x="94"/>
        <item x="135"/>
        <item x="86"/>
        <item x="325"/>
        <item x="343"/>
        <item x="107"/>
        <item x="357"/>
        <item x="348"/>
        <item x="475"/>
        <item x="168"/>
        <item x="381"/>
        <item x="318"/>
        <item x="103"/>
        <item x="85"/>
        <item x="101"/>
        <item x="303"/>
        <item x="176"/>
        <item x="33"/>
        <item x="317"/>
        <item x="316"/>
        <item x="208"/>
        <item x="58"/>
        <item x="364"/>
        <item x="261"/>
        <item x="222"/>
        <item x="497"/>
        <item x="6"/>
        <item x="37"/>
        <item x="372"/>
        <item x="160"/>
        <item x="321"/>
        <item x="420"/>
        <item x="30"/>
        <item x="397"/>
        <item x="108"/>
        <item x="270"/>
        <item x="191"/>
        <item x="122"/>
        <item x="444"/>
        <item x="106"/>
        <item x="202"/>
        <item x="203"/>
        <item x="454"/>
        <item x="91"/>
        <item x="407"/>
        <item x="368"/>
        <item x="239"/>
        <item x="294"/>
        <item x="188"/>
        <item x="378"/>
        <item x="218"/>
        <item x="297"/>
        <item x="411"/>
        <item x="46"/>
        <item x="446"/>
        <item x="206"/>
        <item x="399"/>
        <item x="136"/>
        <item x="209"/>
        <item x="402"/>
        <item x="20"/>
        <item x="70"/>
        <item x="413"/>
        <item x="157"/>
        <item x="140"/>
        <item x="8"/>
        <item x="210"/>
        <item x="77"/>
        <item x="349"/>
        <item x="450"/>
        <item x="347"/>
        <item x="358"/>
        <item x="100"/>
        <item x="93"/>
        <item x="361"/>
        <item x="387"/>
        <item x="452"/>
        <item x="23"/>
        <item x="335"/>
        <item x="421"/>
        <item x="163"/>
        <item x="225"/>
        <item x="326"/>
        <item x="192"/>
        <item x="496"/>
        <item x="226"/>
        <item x="301"/>
        <item x="371"/>
        <item x="309"/>
        <item x="334"/>
        <item x="227"/>
        <item x="128"/>
        <item x="477"/>
        <item x="339"/>
        <item x="440"/>
        <item x="56"/>
        <item x="217"/>
        <item x="359"/>
        <item x="112"/>
        <item x="308"/>
        <item x="419"/>
        <item x="282"/>
        <item x="216"/>
        <item x="66"/>
        <item x="151"/>
        <item x="131"/>
        <item x="26"/>
        <item x="422"/>
        <item x="174"/>
        <item x="88"/>
        <item x="75"/>
        <item x="443"/>
        <item x="468"/>
        <item x="178"/>
        <item x="72"/>
        <item x="406"/>
        <item x="54"/>
        <item x="76"/>
        <item x="418"/>
        <item x="129"/>
        <item x="363"/>
        <item x="390"/>
        <item x="312"/>
        <item x="27"/>
        <item x="232"/>
        <item x="324"/>
        <item x="493"/>
        <item x="53"/>
        <item x="250"/>
        <item x="423"/>
        <item x="211"/>
        <item x="377"/>
        <item x="479"/>
        <item x="380"/>
        <item x="145"/>
        <item x="307"/>
        <item x="110"/>
        <item x="67"/>
        <item x="99"/>
        <item x="333"/>
        <item x="304"/>
        <item x="154"/>
        <item x="242"/>
        <item x="499"/>
        <item x="68"/>
        <item x="2"/>
        <item x="470"/>
        <item x="229"/>
        <item x="310"/>
        <item x="467"/>
        <item x="427"/>
        <item x="336"/>
        <item x="478"/>
        <item x="244"/>
        <item x="328"/>
        <item x="231"/>
        <item x="45"/>
        <item x="293"/>
        <item x="360"/>
        <item x="449"/>
        <item x="184"/>
        <item x="127"/>
        <item x="205"/>
        <item x="362"/>
        <item x="299"/>
        <item x="92"/>
        <item x="260"/>
        <item x="389"/>
        <item x="461"/>
        <item x="374"/>
        <item x="254"/>
        <item x="234"/>
        <item x="466"/>
        <item x="69"/>
        <item x="22"/>
        <item x="153"/>
        <item x="340"/>
        <item x="265"/>
        <item x="5"/>
        <item x="481"/>
        <item x="295"/>
        <item x="489"/>
        <item x="463"/>
        <item x="298"/>
        <item x="284"/>
        <item x="124"/>
        <item x="10"/>
        <item x="366"/>
        <item x="415"/>
        <item x="327"/>
        <item x="40"/>
        <item x="442"/>
        <item x="408"/>
        <item x="179"/>
        <item x="314"/>
        <item x="424"/>
        <item x="81"/>
        <item x="356"/>
        <item x="13"/>
        <item x="221"/>
        <item x="171"/>
        <item x="311"/>
        <item x="459"/>
        <item x="445"/>
        <item x="338"/>
        <item x="439"/>
        <item x="246"/>
        <item x="29"/>
        <item x="278"/>
        <item x="431"/>
        <item x="483"/>
        <item x="259"/>
        <item x="267"/>
        <item x="28"/>
        <item x="272"/>
        <item x="47"/>
        <item x="430"/>
        <item x="41"/>
        <item x="116"/>
        <item x="417"/>
        <item x="412"/>
        <item x="404"/>
        <item x="432"/>
        <item x="291"/>
        <item x="498"/>
        <item x="228"/>
        <item x="473"/>
        <item x="258"/>
        <item x="142"/>
        <item x="433"/>
        <item x="173"/>
        <item x="15"/>
        <item x="25"/>
        <item x="162"/>
        <item x="90"/>
        <item x="144"/>
        <item x="395"/>
        <item x="441"/>
        <item x="379"/>
        <item x="262"/>
        <item x="319"/>
        <item x="32"/>
        <item x="24"/>
        <item x="344"/>
        <item x="369"/>
        <item x="138"/>
        <item x="114"/>
        <item x="351"/>
        <item x="102"/>
        <item x="375"/>
        <item x="290"/>
        <item x="373"/>
        <item x="38"/>
        <item x="207"/>
        <item x="141"/>
        <item x="256"/>
        <item x="238"/>
        <item x="322"/>
        <item x="241"/>
        <item x="266"/>
        <item x="353"/>
        <item x="280"/>
        <item x="253"/>
        <item x="150"/>
        <item x="214"/>
        <item x="97"/>
        <item x="14"/>
        <item x="451"/>
        <item x="189"/>
        <item x="331"/>
        <item x="215"/>
        <item x="17"/>
        <item x="269"/>
        <item x="285"/>
        <item x="457"/>
        <item x="52"/>
        <item x="485"/>
        <item x="169"/>
        <item x="456"/>
        <item x="195"/>
        <item x="255"/>
        <item x="83"/>
        <item x="115"/>
        <item x="458"/>
        <item x="436"/>
        <item x="263"/>
        <item x="346"/>
        <item x="143"/>
        <item x="447"/>
        <item x="388"/>
        <item x="245"/>
        <item x="161"/>
        <item x="11"/>
        <item x="132"/>
        <item x="79"/>
        <item x="158"/>
        <item x="130"/>
        <item x="0"/>
        <item x="121"/>
        <item x="133"/>
        <item x="385"/>
        <item x="398"/>
        <item x="182"/>
        <item x="19"/>
        <item x="180"/>
        <item x="330"/>
        <item x="49"/>
        <item x="289"/>
        <item x="61"/>
        <item x="409"/>
        <item x="3"/>
        <item x="155"/>
        <item x="194"/>
        <item x="105"/>
        <item x="465"/>
        <item x="16"/>
        <item x="247"/>
        <item x="268"/>
        <item x="224"/>
        <item x="167"/>
        <item x="196"/>
        <item x="323"/>
        <item x="113"/>
        <item x="134"/>
        <item t="default"/>
      </items>
    </pivotField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合計 / Total_Revenue" fld="13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4E05A1-D5AE-4DC0-8D7E-882EA940E331}" name="ピボットテーブル2" cacheId="8" applyNumberFormats="0" applyBorderFormats="0" applyFontFormats="0" applyPatternFormats="0" applyAlignmentFormats="0" applyWidthHeightFormats="1" dataCaption="値" updatedVersion="8" minRefreshableVersion="3" useAutoFormatting="1" itemPrintTitles="1" createdVersion="8" indent="0" outline="1" outlineData="1" multipleFieldFilters="0">
  <location ref="A3:D16" firstHeaderRow="0" firstDataRow="1" firstDataCol="1"/>
  <pivotFields count="16">
    <pivotField dataField="1" showAll="0"/>
    <pivotField showAll="0"/>
    <pivotField numFmtId="14" showAll="0">
      <items count="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t="default"/>
      </items>
    </pivotField>
    <pivotField numFmtId="176" showAll="0"/>
    <pivotField numFmtId="176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個数 / Booking_ID" fld="0" subtotal="count" baseField="0" baseItem="0"/>
    <dataField name="合計 / Total_Revenue" fld="13" baseField="0" baseItem="0"/>
    <dataField name="平均 / Total_Revenue2" fld="13" subtotal="average" baseField="15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B123E5A-7674-4A0C-88D0-D4926E94A91F}" name="HotelSales" displayName="HotelSales" ref="A1:O501" totalsRowShown="0" headerRowDxfId="9" headerRowBorderDxfId="8" tableBorderDxfId="7">
  <autoFilter ref="A1:O501" xr:uid="{7B123E5A-7674-4A0C-88D0-D4926E94A91F}"/>
  <tableColumns count="15">
    <tableColumn id="1" xr3:uid="{025B6FF1-41A6-4A1C-96FE-302FDA2DF06B}" name="Booking_ID"/>
    <tableColumn id="2" xr3:uid="{06A425DD-2426-4FF0-B42A-CF4E3E725365}" name="Customer_ID"/>
    <tableColumn id="3" xr3:uid="{63117774-52FB-4339-971D-C1DA76E777B1}" name="Booking_Date" dataDxfId="6"/>
    <tableColumn id="4" xr3:uid="{EEFF8FCD-5A7F-4B2D-8234-9A33270A518B}" name="Check_In" dataDxfId="5"/>
    <tableColumn id="5" xr3:uid="{90C92C4F-9124-4BCB-91C2-13F88C07D01B}" name="Check_Out" dataDxfId="4"/>
    <tableColumn id="14" xr3:uid="{1B81088B-D68C-4844-B015-F2A021DD2F0E}" name="Stay_Nights" dataDxfId="3">
      <calculatedColumnFormula>HotelSales[[#This Row],[Check_Out]]-HotelSales[[#This Row],[Check_In]]</calculatedColumnFormula>
    </tableColumn>
    <tableColumn id="6" xr3:uid="{105D7AEF-E372-4DA1-A8B6-6308EC686A0F}" name="Room_Type"/>
    <tableColumn id="7" xr3:uid="{401BDA40-E785-4ACF-AD9D-B2DACEA6845E}" name="Customer_Type"/>
    <tableColumn id="8" xr3:uid="{005130B5-D806-4B74-A485-3B63BE66449A}" name="Booking_Channel"/>
    <tableColumn id="9" xr3:uid="{5FE85A98-A673-41FF-B133-A4797A4CDFB8}" name="Guests"/>
    <tableColumn id="10" xr3:uid="{7E4FCD5D-AF09-4A1F-84B5-648B3ACE363E}" name="Room_Rate"/>
    <tableColumn id="15" xr3:uid="{84E43126-3D22-4B3B-BEA6-E236B543A4EF}" name="Room_Revenue" dataDxfId="2">
      <calculatedColumnFormula>HotelSales[[#This Row],[Stay_Nights]]*HotelSales[[#This Row],[Room_Rate]]</calculatedColumnFormula>
    </tableColumn>
    <tableColumn id="11" xr3:uid="{303EC3AE-529E-42F0-9429-AA1080BE065D}" name="Restaurant_Spend"/>
    <tableColumn id="17" xr3:uid="{ED0195BC-90B3-4069-8662-A56C92B7438A}" name="Total_Revenue" dataDxfId="1">
      <calculatedColumnFormula>HotelSales[[#This Row],[Room_Revenue]]+HotelSales[[#This Row],[Restaurant_Spend]]</calculatedColumnFormula>
    </tableColumn>
    <tableColumn id="12" xr3:uid="{B7757D53-11E0-4F6C-988B-AB13F016B8E3}" name="Cit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10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1:O505"/>
  <sheetViews>
    <sheetView workbookViewId="0">
      <selection activeCell="A2" sqref="A2"/>
    </sheetView>
  </sheetViews>
  <sheetFormatPr defaultRowHeight="13"/>
  <cols>
    <col min="1" max="2" width="18" customWidth="1"/>
    <col min="3" max="3" width="18" style="2" customWidth="1"/>
    <col min="4" max="5" width="18" customWidth="1"/>
    <col min="6" max="6" width="10.90625" customWidth="1"/>
    <col min="7" max="8" width="18" customWidth="1"/>
    <col min="9" max="9" width="18.08984375" customWidth="1"/>
    <col min="10" max="10" width="9.54296875" customWidth="1"/>
    <col min="11" max="11" width="13.26953125" customWidth="1"/>
    <col min="12" max="12" width="15.54296875" customWidth="1"/>
    <col min="13" max="13" width="22.26953125" customWidth="1"/>
    <col min="14" max="14" width="14" customWidth="1"/>
    <col min="15" max="15" width="13.7265625" customWidth="1"/>
  </cols>
  <sheetData>
    <row r="1" spans="1:15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788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789</v>
      </c>
      <c r="M1" s="3" t="s">
        <v>10</v>
      </c>
      <c r="N1" s="3" t="s">
        <v>790</v>
      </c>
      <c r="O1" s="3" t="s">
        <v>11</v>
      </c>
    </row>
    <row r="2" spans="1:15">
      <c r="A2" t="s">
        <v>12</v>
      </c>
      <c r="B2" t="s">
        <v>512</v>
      </c>
      <c r="C2" s="2">
        <v>45658.783113425918</v>
      </c>
      <c r="D2" s="1">
        <v>45664.783113425918</v>
      </c>
      <c r="E2" s="1">
        <v>45666.783113425918</v>
      </c>
      <c r="F2">
        <f>HotelSales[[#This Row],[Check_Out]]-HotelSales[[#This Row],[Check_In]]</f>
        <v>2</v>
      </c>
      <c r="G2" t="s">
        <v>774</v>
      </c>
      <c r="H2" t="s">
        <v>777</v>
      </c>
      <c r="I2" t="s">
        <v>779</v>
      </c>
      <c r="J2">
        <v>2</v>
      </c>
      <c r="K2">
        <v>29000</v>
      </c>
      <c r="L2">
        <f>HotelSales[[#This Row],[Stay_Nights]]*HotelSales[[#This Row],[Room_Rate]]</f>
        <v>58000</v>
      </c>
      <c r="M2">
        <v>4000</v>
      </c>
      <c r="N2">
        <f>HotelSales[[#This Row],[Room_Revenue]]+HotelSales[[#This Row],[Restaurant_Spend]]</f>
        <v>62000</v>
      </c>
      <c r="O2" t="s">
        <v>782</v>
      </c>
    </row>
    <row r="3" spans="1:15">
      <c r="A3" t="s">
        <v>13</v>
      </c>
      <c r="B3" t="s">
        <v>513</v>
      </c>
      <c r="C3" s="2">
        <v>45658.81759259259</v>
      </c>
      <c r="D3" s="1">
        <v>45682.81759259259</v>
      </c>
      <c r="E3" s="1">
        <v>45688.81759259259</v>
      </c>
      <c r="F3">
        <f>HotelSales[[#This Row],[Check_Out]]-HotelSales[[#This Row],[Check_In]]</f>
        <v>6</v>
      </c>
      <c r="G3" t="s">
        <v>775</v>
      </c>
      <c r="H3" t="s">
        <v>778</v>
      </c>
      <c r="I3" t="s">
        <v>779</v>
      </c>
      <c r="J3">
        <v>1</v>
      </c>
      <c r="K3">
        <v>12000</v>
      </c>
      <c r="L3">
        <f>HotelSales[[#This Row],[Stay_Nights]]*HotelSales[[#This Row],[Room_Rate]]</f>
        <v>72000</v>
      </c>
      <c r="M3">
        <v>2000</v>
      </c>
      <c r="N3">
        <f>HotelSales[[#This Row],[Room_Revenue]]+HotelSales[[#This Row],[Restaurant_Spend]]</f>
        <v>74000</v>
      </c>
      <c r="O3" t="s">
        <v>783</v>
      </c>
    </row>
    <row r="4" spans="1:15">
      <c r="A4" t="s">
        <v>14</v>
      </c>
      <c r="B4" t="s">
        <v>514</v>
      </c>
      <c r="C4" s="2">
        <v>45659.067048611112</v>
      </c>
      <c r="D4" s="1">
        <v>45665.067048611112</v>
      </c>
      <c r="E4" s="1">
        <v>45668.067048611112</v>
      </c>
      <c r="F4">
        <f>HotelSales[[#This Row],[Check_Out]]-HotelSales[[#This Row],[Check_In]]</f>
        <v>3</v>
      </c>
      <c r="G4" t="s">
        <v>776</v>
      </c>
      <c r="H4" t="s">
        <v>778</v>
      </c>
      <c r="I4" t="s">
        <v>780</v>
      </c>
      <c r="J4">
        <v>4</v>
      </c>
      <c r="K4">
        <v>17000</v>
      </c>
      <c r="L4">
        <f>HotelSales[[#This Row],[Stay_Nights]]*HotelSales[[#This Row],[Room_Rate]]</f>
        <v>51000</v>
      </c>
      <c r="M4">
        <v>7500</v>
      </c>
      <c r="N4">
        <f>HotelSales[[#This Row],[Room_Revenue]]+HotelSales[[#This Row],[Restaurant_Spend]]</f>
        <v>58500</v>
      </c>
      <c r="O4" t="s">
        <v>783</v>
      </c>
    </row>
    <row r="5" spans="1:15">
      <c r="A5" t="s">
        <v>15</v>
      </c>
      <c r="B5" t="s">
        <v>515</v>
      </c>
      <c r="C5" s="2">
        <v>45659.366122685176</v>
      </c>
      <c r="D5" s="1">
        <v>45682.366122685176</v>
      </c>
      <c r="E5" s="1">
        <v>45683.366122685176</v>
      </c>
      <c r="F5">
        <f>HotelSales[[#This Row],[Check_Out]]-HotelSales[[#This Row],[Check_In]]</f>
        <v>1</v>
      </c>
      <c r="G5" t="s">
        <v>775</v>
      </c>
      <c r="H5" t="s">
        <v>777</v>
      </c>
      <c r="I5" t="s">
        <v>780</v>
      </c>
      <c r="J5">
        <v>3</v>
      </c>
      <c r="K5">
        <v>11000</v>
      </c>
      <c r="L5">
        <f>HotelSales[[#This Row],[Stay_Nights]]*HotelSales[[#This Row],[Room_Rate]]</f>
        <v>11000</v>
      </c>
      <c r="M5">
        <v>500</v>
      </c>
      <c r="N5">
        <f>HotelSales[[#This Row],[Room_Revenue]]+HotelSales[[#This Row],[Restaurant_Spend]]</f>
        <v>11500</v>
      </c>
      <c r="O5" t="s">
        <v>784</v>
      </c>
    </row>
    <row r="6" spans="1:15">
      <c r="A6" t="s">
        <v>16</v>
      </c>
      <c r="B6" t="s">
        <v>516</v>
      </c>
      <c r="C6" s="2">
        <v>45660.2890625</v>
      </c>
      <c r="D6" s="1">
        <v>45663.2890625</v>
      </c>
      <c r="E6" s="1">
        <v>45669.2890625</v>
      </c>
      <c r="F6">
        <f>HotelSales[[#This Row],[Check_Out]]-HotelSales[[#This Row],[Check_In]]</f>
        <v>6</v>
      </c>
      <c r="G6" t="s">
        <v>775</v>
      </c>
      <c r="H6" t="s">
        <v>778</v>
      </c>
      <c r="I6" t="s">
        <v>781</v>
      </c>
      <c r="J6">
        <v>1</v>
      </c>
      <c r="K6">
        <v>12000</v>
      </c>
      <c r="L6">
        <f>HotelSales[[#This Row],[Stay_Nights]]*HotelSales[[#This Row],[Room_Rate]]</f>
        <v>72000</v>
      </c>
      <c r="M6">
        <v>6500</v>
      </c>
      <c r="N6">
        <f>HotelSales[[#This Row],[Room_Revenue]]+HotelSales[[#This Row],[Restaurant_Spend]]</f>
        <v>78500</v>
      </c>
      <c r="O6" t="s">
        <v>785</v>
      </c>
    </row>
    <row r="7" spans="1:15">
      <c r="A7" t="s">
        <v>17</v>
      </c>
      <c r="B7" t="s">
        <v>517</v>
      </c>
      <c r="C7" s="2">
        <v>45661.788877314822</v>
      </c>
      <c r="D7" s="1">
        <v>45689.788877314822</v>
      </c>
      <c r="E7" s="1">
        <v>45691.788877314822</v>
      </c>
      <c r="F7">
        <f>HotelSales[[#This Row],[Check_Out]]-HotelSales[[#This Row],[Check_In]]</f>
        <v>2</v>
      </c>
      <c r="G7" t="s">
        <v>774</v>
      </c>
      <c r="H7" t="s">
        <v>777</v>
      </c>
      <c r="I7" t="s">
        <v>781</v>
      </c>
      <c r="J7">
        <v>1</v>
      </c>
      <c r="K7">
        <v>29000</v>
      </c>
      <c r="L7">
        <f>HotelSales[[#This Row],[Stay_Nights]]*HotelSales[[#This Row],[Room_Rate]]</f>
        <v>58000</v>
      </c>
      <c r="M7">
        <v>6500</v>
      </c>
      <c r="N7">
        <f>HotelSales[[#This Row],[Room_Revenue]]+HotelSales[[#This Row],[Restaurant_Spend]]</f>
        <v>64500</v>
      </c>
      <c r="O7" t="s">
        <v>784</v>
      </c>
    </row>
    <row r="8" spans="1:15">
      <c r="A8" t="s">
        <v>18</v>
      </c>
      <c r="B8" t="s">
        <v>518</v>
      </c>
      <c r="C8" s="2">
        <v>45662.902430555558</v>
      </c>
      <c r="D8" s="1">
        <v>45676.902430555558</v>
      </c>
      <c r="E8" s="1">
        <v>45680.902430555558</v>
      </c>
      <c r="F8">
        <f>HotelSales[[#This Row],[Check_Out]]-HotelSales[[#This Row],[Check_In]]</f>
        <v>4</v>
      </c>
      <c r="G8" t="s">
        <v>776</v>
      </c>
      <c r="H8" t="s">
        <v>778</v>
      </c>
      <c r="I8" t="s">
        <v>780</v>
      </c>
      <c r="J8">
        <v>3</v>
      </c>
      <c r="K8">
        <v>17000</v>
      </c>
      <c r="L8">
        <f>HotelSales[[#This Row],[Stay_Nights]]*HotelSales[[#This Row],[Room_Rate]]</f>
        <v>68000</v>
      </c>
      <c r="M8">
        <v>8500</v>
      </c>
      <c r="N8">
        <f>HotelSales[[#This Row],[Room_Revenue]]+HotelSales[[#This Row],[Restaurant_Spend]]</f>
        <v>76500</v>
      </c>
      <c r="O8" t="s">
        <v>786</v>
      </c>
    </row>
    <row r="9" spans="1:15">
      <c r="A9" t="s">
        <v>19</v>
      </c>
      <c r="B9" t="s">
        <v>519</v>
      </c>
      <c r="C9" s="2">
        <v>45663.18917824074</v>
      </c>
      <c r="D9" s="1">
        <v>45666.18917824074</v>
      </c>
      <c r="E9" s="1">
        <v>45668.18917824074</v>
      </c>
      <c r="F9">
        <f>HotelSales[[#This Row],[Check_Out]]-HotelSales[[#This Row],[Check_In]]</f>
        <v>2</v>
      </c>
      <c r="G9" t="s">
        <v>776</v>
      </c>
      <c r="H9" t="s">
        <v>778</v>
      </c>
      <c r="I9" t="s">
        <v>780</v>
      </c>
      <c r="J9">
        <v>2</v>
      </c>
      <c r="K9">
        <v>18000</v>
      </c>
      <c r="L9">
        <f>HotelSales[[#This Row],[Stay_Nights]]*HotelSales[[#This Row],[Room_Rate]]</f>
        <v>36000</v>
      </c>
      <c r="M9">
        <v>5500</v>
      </c>
      <c r="N9">
        <f>HotelSales[[#This Row],[Room_Revenue]]+HotelSales[[#This Row],[Restaurant_Spend]]</f>
        <v>41500</v>
      </c>
      <c r="O9" t="s">
        <v>786</v>
      </c>
    </row>
    <row r="10" spans="1:15">
      <c r="A10" t="s">
        <v>20</v>
      </c>
      <c r="B10" t="s">
        <v>520</v>
      </c>
      <c r="C10" s="2">
        <v>45663.758819444447</v>
      </c>
      <c r="D10" s="1">
        <v>45680.758819444447</v>
      </c>
      <c r="E10" s="1">
        <v>45681.758819444447</v>
      </c>
      <c r="F10">
        <f>HotelSales[[#This Row],[Check_Out]]-HotelSales[[#This Row],[Check_In]]</f>
        <v>1</v>
      </c>
      <c r="G10" t="s">
        <v>776</v>
      </c>
      <c r="H10" t="s">
        <v>778</v>
      </c>
      <c r="I10" t="s">
        <v>780</v>
      </c>
      <c r="J10">
        <v>1</v>
      </c>
      <c r="K10">
        <v>18000</v>
      </c>
      <c r="L10">
        <f>HotelSales[[#This Row],[Stay_Nights]]*HotelSales[[#This Row],[Room_Rate]]</f>
        <v>18000</v>
      </c>
      <c r="M10">
        <v>6000</v>
      </c>
      <c r="N10">
        <f>HotelSales[[#This Row],[Room_Revenue]]+HotelSales[[#This Row],[Restaurant_Spend]]</f>
        <v>24000</v>
      </c>
      <c r="O10" t="s">
        <v>782</v>
      </c>
    </row>
    <row r="11" spans="1:15">
      <c r="A11" t="s">
        <v>21</v>
      </c>
      <c r="B11" t="s">
        <v>521</v>
      </c>
      <c r="C11" s="2">
        <v>45664.155451388891</v>
      </c>
      <c r="D11" s="1">
        <v>45678.155451388891</v>
      </c>
      <c r="E11" s="1">
        <v>45685.155451388891</v>
      </c>
      <c r="F11">
        <f>HotelSales[[#This Row],[Check_Out]]-HotelSales[[#This Row],[Check_In]]</f>
        <v>7</v>
      </c>
      <c r="G11" t="s">
        <v>776</v>
      </c>
      <c r="H11" t="s">
        <v>778</v>
      </c>
      <c r="I11" t="s">
        <v>779</v>
      </c>
      <c r="J11">
        <v>4</v>
      </c>
      <c r="K11">
        <v>19000</v>
      </c>
      <c r="L11">
        <f>HotelSales[[#This Row],[Stay_Nights]]*HotelSales[[#This Row],[Room_Rate]]</f>
        <v>133000</v>
      </c>
      <c r="M11">
        <v>1500</v>
      </c>
      <c r="N11">
        <f>HotelSales[[#This Row],[Room_Revenue]]+HotelSales[[#This Row],[Restaurant_Spend]]</f>
        <v>134500</v>
      </c>
      <c r="O11" t="s">
        <v>787</v>
      </c>
    </row>
    <row r="12" spans="1:15">
      <c r="A12" t="s">
        <v>22</v>
      </c>
      <c r="B12" t="s">
        <v>522</v>
      </c>
      <c r="C12" s="2">
        <v>45664.368310185193</v>
      </c>
      <c r="D12" s="1">
        <v>45678.368310185193</v>
      </c>
      <c r="E12" s="1">
        <v>45682.368310185193</v>
      </c>
      <c r="F12">
        <f>HotelSales[[#This Row],[Check_Out]]-HotelSales[[#This Row],[Check_In]]</f>
        <v>4</v>
      </c>
      <c r="G12" t="s">
        <v>776</v>
      </c>
      <c r="H12" t="s">
        <v>777</v>
      </c>
      <c r="I12" t="s">
        <v>780</v>
      </c>
      <c r="J12">
        <v>1</v>
      </c>
      <c r="K12">
        <v>18000</v>
      </c>
      <c r="L12">
        <f>HotelSales[[#This Row],[Stay_Nights]]*HotelSales[[#This Row],[Room_Rate]]</f>
        <v>72000</v>
      </c>
      <c r="M12">
        <v>6000</v>
      </c>
      <c r="N12">
        <f>HotelSales[[#This Row],[Room_Revenue]]+HotelSales[[#This Row],[Restaurant_Spend]]</f>
        <v>78000</v>
      </c>
      <c r="O12" t="s">
        <v>783</v>
      </c>
    </row>
    <row r="13" spans="1:15">
      <c r="A13" t="s">
        <v>23</v>
      </c>
      <c r="B13" t="s">
        <v>523</v>
      </c>
      <c r="C13" s="2">
        <v>45665.356539351851</v>
      </c>
      <c r="D13" s="1">
        <v>45672.356539351851</v>
      </c>
      <c r="E13" s="1">
        <v>45674.356539351851</v>
      </c>
      <c r="F13">
        <f>HotelSales[[#This Row],[Check_Out]]-HotelSales[[#This Row],[Check_In]]</f>
        <v>2</v>
      </c>
      <c r="G13" t="s">
        <v>775</v>
      </c>
      <c r="H13" t="s">
        <v>778</v>
      </c>
      <c r="I13" t="s">
        <v>779</v>
      </c>
      <c r="J13">
        <v>2</v>
      </c>
      <c r="K13">
        <v>12000</v>
      </c>
      <c r="L13">
        <f>HotelSales[[#This Row],[Stay_Nights]]*HotelSales[[#This Row],[Room_Rate]]</f>
        <v>24000</v>
      </c>
      <c r="M13">
        <v>4000</v>
      </c>
      <c r="N13">
        <f>HotelSales[[#This Row],[Room_Revenue]]+HotelSales[[#This Row],[Restaurant_Spend]]</f>
        <v>28000</v>
      </c>
      <c r="O13" t="s">
        <v>784</v>
      </c>
    </row>
    <row r="14" spans="1:15">
      <c r="A14" t="s">
        <v>24</v>
      </c>
      <c r="B14" t="s">
        <v>524</v>
      </c>
      <c r="C14" s="2">
        <v>45665.818402777782</v>
      </c>
      <c r="D14" s="1">
        <v>45690.818402777782</v>
      </c>
      <c r="E14" s="1">
        <v>45691.818402777782</v>
      </c>
      <c r="F14">
        <f>HotelSales[[#This Row],[Check_Out]]-HotelSales[[#This Row],[Check_In]]</f>
        <v>1</v>
      </c>
      <c r="G14" t="s">
        <v>775</v>
      </c>
      <c r="H14" t="s">
        <v>778</v>
      </c>
      <c r="I14" t="s">
        <v>780</v>
      </c>
      <c r="J14">
        <v>4</v>
      </c>
      <c r="K14">
        <v>13000</v>
      </c>
      <c r="L14">
        <f>HotelSales[[#This Row],[Stay_Nights]]*HotelSales[[#This Row],[Room_Rate]]</f>
        <v>13000</v>
      </c>
      <c r="M14">
        <v>9500</v>
      </c>
      <c r="N14">
        <f>HotelSales[[#This Row],[Room_Revenue]]+HotelSales[[#This Row],[Restaurant_Spend]]</f>
        <v>22500</v>
      </c>
      <c r="O14" t="s">
        <v>783</v>
      </c>
    </row>
    <row r="15" spans="1:15">
      <c r="A15" t="s">
        <v>25</v>
      </c>
      <c r="B15" t="s">
        <v>525</v>
      </c>
      <c r="C15" s="2">
        <v>45666.190844907411</v>
      </c>
      <c r="D15" s="1">
        <v>45688.190844907411</v>
      </c>
      <c r="E15" s="1">
        <v>45694.190844907411</v>
      </c>
      <c r="F15">
        <f>HotelSales[[#This Row],[Check_Out]]-HotelSales[[#This Row],[Check_In]]</f>
        <v>6</v>
      </c>
      <c r="G15" t="s">
        <v>775</v>
      </c>
      <c r="H15" t="s">
        <v>778</v>
      </c>
      <c r="I15" t="s">
        <v>780</v>
      </c>
      <c r="J15">
        <v>2</v>
      </c>
      <c r="K15">
        <v>13000</v>
      </c>
      <c r="L15">
        <f>HotelSales[[#This Row],[Stay_Nights]]*HotelSales[[#This Row],[Room_Rate]]</f>
        <v>78000</v>
      </c>
      <c r="M15">
        <v>8000</v>
      </c>
      <c r="N15">
        <f>HotelSales[[#This Row],[Room_Revenue]]+HotelSales[[#This Row],[Restaurant_Spend]]</f>
        <v>86000</v>
      </c>
      <c r="O15" t="s">
        <v>786</v>
      </c>
    </row>
    <row r="16" spans="1:15">
      <c r="A16" t="s">
        <v>26</v>
      </c>
      <c r="B16" t="s">
        <v>526</v>
      </c>
      <c r="C16" s="2">
        <v>45670.409722222219</v>
      </c>
      <c r="D16" s="1">
        <v>45680.409722222219</v>
      </c>
      <c r="E16" s="1">
        <v>45685.409722222219</v>
      </c>
      <c r="F16">
        <f>HotelSales[[#This Row],[Check_Out]]-HotelSales[[#This Row],[Check_In]]</f>
        <v>5</v>
      </c>
      <c r="G16" t="s">
        <v>775</v>
      </c>
      <c r="H16" t="s">
        <v>778</v>
      </c>
      <c r="I16" t="s">
        <v>779</v>
      </c>
      <c r="J16">
        <v>4</v>
      </c>
      <c r="K16">
        <v>13000</v>
      </c>
      <c r="L16">
        <f>HotelSales[[#This Row],[Stay_Nights]]*HotelSales[[#This Row],[Room_Rate]]</f>
        <v>65000</v>
      </c>
      <c r="M16">
        <v>11000</v>
      </c>
      <c r="N16">
        <f>HotelSales[[#This Row],[Room_Revenue]]+HotelSales[[#This Row],[Restaurant_Spend]]</f>
        <v>76000</v>
      </c>
      <c r="O16" t="s">
        <v>787</v>
      </c>
    </row>
    <row r="17" spans="1:15">
      <c r="A17" t="s">
        <v>27</v>
      </c>
      <c r="B17" t="s">
        <v>527</v>
      </c>
      <c r="C17" s="2">
        <v>45670.414895833332</v>
      </c>
      <c r="D17" s="1">
        <v>45695.414895833332</v>
      </c>
      <c r="E17" s="1">
        <v>45697.414895833332</v>
      </c>
      <c r="F17">
        <f>HotelSales[[#This Row],[Check_Out]]-HotelSales[[#This Row],[Check_In]]</f>
        <v>2</v>
      </c>
      <c r="G17" t="s">
        <v>775</v>
      </c>
      <c r="H17" t="s">
        <v>778</v>
      </c>
      <c r="I17" t="s">
        <v>781</v>
      </c>
      <c r="J17">
        <v>3</v>
      </c>
      <c r="K17">
        <v>12000</v>
      </c>
      <c r="L17">
        <f>HotelSales[[#This Row],[Stay_Nights]]*HotelSales[[#This Row],[Room_Rate]]</f>
        <v>24000</v>
      </c>
      <c r="M17">
        <v>5000</v>
      </c>
      <c r="N17">
        <f>HotelSales[[#This Row],[Room_Revenue]]+HotelSales[[#This Row],[Restaurant_Spend]]</f>
        <v>29000</v>
      </c>
      <c r="O17" t="s">
        <v>783</v>
      </c>
    </row>
    <row r="18" spans="1:15">
      <c r="A18" t="s">
        <v>28</v>
      </c>
      <c r="B18" t="s">
        <v>528</v>
      </c>
      <c r="C18" s="2">
        <v>45672.068310185183</v>
      </c>
      <c r="D18" s="1">
        <v>45691.068310185183</v>
      </c>
      <c r="E18" s="1">
        <v>45696.068310185183</v>
      </c>
      <c r="F18">
        <f>HotelSales[[#This Row],[Check_Out]]-HotelSales[[#This Row],[Check_In]]</f>
        <v>5</v>
      </c>
      <c r="G18" t="s">
        <v>776</v>
      </c>
      <c r="H18" t="s">
        <v>778</v>
      </c>
      <c r="I18" t="s">
        <v>780</v>
      </c>
      <c r="J18">
        <v>1</v>
      </c>
      <c r="K18">
        <v>19000</v>
      </c>
      <c r="L18">
        <f>HotelSales[[#This Row],[Stay_Nights]]*HotelSales[[#This Row],[Room_Rate]]</f>
        <v>95000</v>
      </c>
      <c r="M18">
        <v>8000</v>
      </c>
      <c r="N18">
        <f>HotelSales[[#This Row],[Room_Revenue]]+HotelSales[[#This Row],[Restaurant_Spend]]</f>
        <v>103000</v>
      </c>
      <c r="O18" t="s">
        <v>784</v>
      </c>
    </row>
    <row r="19" spans="1:15">
      <c r="A19" t="s">
        <v>29</v>
      </c>
      <c r="B19" t="s">
        <v>529</v>
      </c>
      <c r="C19" s="2">
        <v>45672.15357638889</v>
      </c>
      <c r="D19" s="1">
        <v>45683.15357638889</v>
      </c>
      <c r="E19" s="1">
        <v>45690.15357638889</v>
      </c>
      <c r="F19">
        <f>HotelSales[[#This Row],[Check_Out]]-HotelSales[[#This Row],[Check_In]]</f>
        <v>7</v>
      </c>
      <c r="G19" t="s">
        <v>776</v>
      </c>
      <c r="H19" t="s">
        <v>777</v>
      </c>
      <c r="I19" t="s">
        <v>780</v>
      </c>
      <c r="J19">
        <v>2</v>
      </c>
      <c r="K19">
        <v>18000</v>
      </c>
      <c r="L19">
        <f>HotelSales[[#This Row],[Stay_Nights]]*HotelSales[[#This Row],[Room_Rate]]</f>
        <v>126000</v>
      </c>
      <c r="M19">
        <v>0</v>
      </c>
      <c r="N19">
        <f>HotelSales[[#This Row],[Room_Revenue]]+HotelSales[[#This Row],[Restaurant_Spend]]</f>
        <v>126000</v>
      </c>
      <c r="O19" t="s">
        <v>782</v>
      </c>
    </row>
    <row r="20" spans="1:15">
      <c r="A20" t="s">
        <v>30</v>
      </c>
      <c r="B20" t="s">
        <v>530</v>
      </c>
      <c r="C20" s="2">
        <v>45672.891701388893</v>
      </c>
      <c r="D20" s="1">
        <v>45698.891701388893</v>
      </c>
      <c r="E20" s="1">
        <v>45702.891701388893</v>
      </c>
      <c r="F20">
        <f>HotelSales[[#This Row],[Check_Out]]-HotelSales[[#This Row],[Check_In]]</f>
        <v>4</v>
      </c>
      <c r="G20" t="s">
        <v>774</v>
      </c>
      <c r="H20" t="s">
        <v>778</v>
      </c>
      <c r="I20" t="s">
        <v>780</v>
      </c>
      <c r="J20">
        <v>2</v>
      </c>
      <c r="K20">
        <v>29000</v>
      </c>
      <c r="L20">
        <f>HotelSales[[#This Row],[Stay_Nights]]*HotelSales[[#This Row],[Room_Rate]]</f>
        <v>116000</v>
      </c>
      <c r="M20">
        <v>6000</v>
      </c>
      <c r="N20">
        <f>HotelSales[[#This Row],[Room_Revenue]]+HotelSales[[#This Row],[Restaurant_Spend]]</f>
        <v>122000</v>
      </c>
      <c r="O20" t="s">
        <v>783</v>
      </c>
    </row>
    <row r="21" spans="1:15">
      <c r="A21" t="s">
        <v>31</v>
      </c>
      <c r="B21" t="s">
        <v>531</v>
      </c>
      <c r="C21" s="2">
        <v>45673.133171296293</v>
      </c>
      <c r="D21" s="1">
        <v>45701.133171296293</v>
      </c>
      <c r="E21" s="1">
        <v>45706.133171296293</v>
      </c>
      <c r="F21">
        <f>HotelSales[[#This Row],[Check_Out]]-HotelSales[[#This Row],[Check_In]]</f>
        <v>5</v>
      </c>
      <c r="G21" t="s">
        <v>776</v>
      </c>
      <c r="H21" t="s">
        <v>778</v>
      </c>
      <c r="I21" t="s">
        <v>781</v>
      </c>
      <c r="J21">
        <v>3</v>
      </c>
      <c r="K21">
        <v>18000</v>
      </c>
      <c r="L21">
        <f>HotelSales[[#This Row],[Stay_Nights]]*HotelSales[[#This Row],[Room_Rate]]</f>
        <v>90000</v>
      </c>
      <c r="M21">
        <v>4000</v>
      </c>
      <c r="N21">
        <f>HotelSales[[#This Row],[Room_Revenue]]+HotelSales[[#This Row],[Restaurant_Spend]]</f>
        <v>94000</v>
      </c>
      <c r="O21" t="s">
        <v>784</v>
      </c>
    </row>
    <row r="22" spans="1:15">
      <c r="A22" t="s">
        <v>32</v>
      </c>
      <c r="B22" t="s">
        <v>532</v>
      </c>
      <c r="C22" s="2">
        <v>45673.555868055562</v>
      </c>
      <c r="D22" s="1">
        <v>45693.555868055562</v>
      </c>
      <c r="E22" s="1">
        <v>45694.555868055562</v>
      </c>
      <c r="F22">
        <f>HotelSales[[#This Row],[Check_Out]]-HotelSales[[#This Row],[Check_In]]</f>
        <v>1</v>
      </c>
      <c r="G22" t="s">
        <v>775</v>
      </c>
      <c r="H22" t="s">
        <v>778</v>
      </c>
      <c r="I22" t="s">
        <v>780</v>
      </c>
      <c r="J22">
        <v>1</v>
      </c>
      <c r="K22">
        <v>13000</v>
      </c>
      <c r="L22">
        <f>HotelSales[[#This Row],[Stay_Nights]]*HotelSales[[#This Row],[Room_Rate]]</f>
        <v>13000</v>
      </c>
      <c r="M22">
        <v>5500</v>
      </c>
      <c r="N22">
        <f>HotelSales[[#This Row],[Room_Revenue]]+HotelSales[[#This Row],[Restaurant_Spend]]</f>
        <v>18500</v>
      </c>
      <c r="O22" t="s">
        <v>782</v>
      </c>
    </row>
    <row r="23" spans="1:15">
      <c r="A23" t="s">
        <v>33</v>
      </c>
      <c r="B23" t="s">
        <v>533</v>
      </c>
      <c r="C23" s="2">
        <v>45674.839212962957</v>
      </c>
      <c r="D23" s="1">
        <v>45682.839212962957</v>
      </c>
      <c r="E23" s="1">
        <v>45684.839212962957</v>
      </c>
      <c r="F23">
        <f>HotelSales[[#This Row],[Check_Out]]-HotelSales[[#This Row],[Check_In]]</f>
        <v>2</v>
      </c>
      <c r="G23" t="s">
        <v>776</v>
      </c>
      <c r="H23" t="s">
        <v>778</v>
      </c>
      <c r="I23" t="s">
        <v>779</v>
      </c>
      <c r="J23">
        <v>3</v>
      </c>
      <c r="K23">
        <v>17000</v>
      </c>
      <c r="L23">
        <f>HotelSales[[#This Row],[Stay_Nights]]*HotelSales[[#This Row],[Room_Rate]]</f>
        <v>34000</v>
      </c>
      <c r="M23">
        <v>4500</v>
      </c>
      <c r="N23">
        <f>HotelSales[[#This Row],[Room_Revenue]]+HotelSales[[#This Row],[Restaurant_Spend]]</f>
        <v>38500</v>
      </c>
      <c r="O23" t="s">
        <v>785</v>
      </c>
    </row>
    <row r="24" spans="1:15">
      <c r="A24" t="s">
        <v>34</v>
      </c>
      <c r="B24" t="s">
        <v>534</v>
      </c>
      <c r="C24" s="2">
        <v>45675.754930555559</v>
      </c>
      <c r="D24" s="1">
        <v>45704.754930555559</v>
      </c>
      <c r="E24" s="1">
        <v>45711.754930555559</v>
      </c>
      <c r="F24">
        <f>HotelSales[[#This Row],[Check_Out]]-HotelSales[[#This Row],[Check_In]]</f>
        <v>7</v>
      </c>
      <c r="G24" t="s">
        <v>775</v>
      </c>
      <c r="H24" t="s">
        <v>778</v>
      </c>
      <c r="I24" t="s">
        <v>780</v>
      </c>
      <c r="J24">
        <v>4</v>
      </c>
      <c r="K24">
        <v>13000</v>
      </c>
      <c r="L24">
        <f>HotelSales[[#This Row],[Stay_Nights]]*HotelSales[[#This Row],[Room_Rate]]</f>
        <v>91000</v>
      </c>
      <c r="M24">
        <v>3000</v>
      </c>
      <c r="N24">
        <f>HotelSales[[#This Row],[Room_Revenue]]+HotelSales[[#This Row],[Restaurant_Spend]]</f>
        <v>94000</v>
      </c>
      <c r="O24" t="s">
        <v>787</v>
      </c>
    </row>
    <row r="25" spans="1:15">
      <c r="A25" t="s">
        <v>35</v>
      </c>
      <c r="B25" t="s">
        <v>535</v>
      </c>
      <c r="C25" s="2">
        <v>45676.523101851853</v>
      </c>
      <c r="D25" s="1">
        <v>45694.523101851853</v>
      </c>
      <c r="E25" s="1">
        <v>45695.523101851853</v>
      </c>
      <c r="F25">
        <f>HotelSales[[#This Row],[Check_Out]]-HotelSales[[#This Row],[Check_In]]</f>
        <v>1</v>
      </c>
      <c r="G25" t="s">
        <v>775</v>
      </c>
      <c r="H25" t="s">
        <v>778</v>
      </c>
      <c r="I25" t="s">
        <v>779</v>
      </c>
      <c r="J25">
        <v>2</v>
      </c>
      <c r="K25">
        <v>13000</v>
      </c>
      <c r="L25">
        <f>HotelSales[[#This Row],[Stay_Nights]]*HotelSales[[#This Row],[Room_Rate]]</f>
        <v>13000</v>
      </c>
      <c r="M25">
        <v>7500</v>
      </c>
      <c r="N25">
        <f>HotelSales[[#This Row],[Room_Revenue]]+HotelSales[[#This Row],[Restaurant_Spend]]</f>
        <v>20500</v>
      </c>
      <c r="O25" t="s">
        <v>782</v>
      </c>
    </row>
    <row r="26" spans="1:15">
      <c r="A26" t="s">
        <v>36</v>
      </c>
      <c r="B26" t="s">
        <v>536</v>
      </c>
      <c r="C26" s="2">
        <v>45676.536990740737</v>
      </c>
      <c r="D26" s="1">
        <v>45694.536990740737</v>
      </c>
      <c r="E26" s="1">
        <v>45695.536990740737</v>
      </c>
      <c r="F26">
        <f>HotelSales[[#This Row],[Check_Out]]-HotelSales[[#This Row],[Check_In]]</f>
        <v>1</v>
      </c>
      <c r="G26" t="s">
        <v>775</v>
      </c>
      <c r="H26" t="s">
        <v>777</v>
      </c>
      <c r="I26" t="s">
        <v>779</v>
      </c>
      <c r="J26">
        <v>3</v>
      </c>
      <c r="K26">
        <v>12000</v>
      </c>
      <c r="L26">
        <f>HotelSales[[#This Row],[Stay_Nights]]*HotelSales[[#This Row],[Room_Rate]]</f>
        <v>12000</v>
      </c>
      <c r="M26">
        <v>9500</v>
      </c>
      <c r="N26">
        <f>HotelSales[[#This Row],[Room_Revenue]]+HotelSales[[#This Row],[Restaurant_Spend]]</f>
        <v>21500</v>
      </c>
      <c r="O26" t="s">
        <v>786</v>
      </c>
    </row>
    <row r="27" spans="1:15">
      <c r="A27" t="s">
        <v>37</v>
      </c>
      <c r="B27" t="s">
        <v>537</v>
      </c>
      <c r="C27" s="2">
        <v>45676.878553240742</v>
      </c>
      <c r="D27" s="1">
        <v>45690.878553240742</v>
      </c>
      <c r="E27" s="1">
        <v>45693.878553240742</v>
      </c>
      <c r="F27">
        <f>HotelSales[[#This Row],[Check_Out]]-HotelSales[[#This Row],[Check_In]]</f>
        <v>3</v>
      </c>
      <c r="G27" t="s">
        <v>774</v>
      </c>
      <c r="H27" t="s">
        <v>777</v>
      </c>
      <c r="I27" t="s">
        <v>779</v>
      </c>
      <c r="J27">
        <v>4</v>
      </c>
      <c r="K27">
        <v>31000</v>
      </c>
      <c r="L27">
        <f>HotelSales[[#This Row],[Stay_Nights]]*HotelSales[[#This Row],[Room_Rate]]</f>
        <v>93000</v>
      </c>
      <c r="M27">
        <v>2500</v>
      </c>
      <c r="N27">
        <f>HotelSales[[#This Row],[Room_Revenue]]+HotelSales[[#This Row],[Restaurant_Spend]]</f>
        <v>95500</v>
      </c>
      <c r="O27" t="s">
        <v>787</v>
      </c>
    </row>
    <row r="28" spans="1:15">
      <c r="A28" t="s">
        <v>38</v>
      </c>
      <c r="B28" t="s">
        <v>538</v>
      </c>
      <c r="C28" s="2">
        <v>45676.925416666672</v>
      </c>
      <c r="D28" s="1">
        <v>45679.925416666672</v>
      </c>
      <c r="E28" s="1">
        <v>45681.925416666672</v>
      </c>
      <c r="F28">
        <f>HotelSales[[#This Row],[Check_Out]]-HotelSales[[#This Row],[Check_In]]</f>
        <v>2</v>
      </c>
      <c r="G28" t="s">
        <v>776</v>
      </c>
      <c r="H28" t="s">
        <v>778</v>
      </c>
      <c r="I28" t="s">
        <v>781</v>
      </c>
      <c r="J28">
        <v>4</v>
      </c>
      <c r="K28">
        <v>19000</v>
      </c>
      <c r="L28">
        <f>HotelSales[[#This Row],[Stay_Nights]]*HotelSales[[#This Row],[Room_Rate]]</f>
        <v>38000</v>
      </c>
      <c r="M28">
        <v>5000</v>
      </c>
      <c r="N28">
        <f>HotelSales[[#This Row],[Room_Revenue]]+HotelSales[[#This Row],[Restaurant_Spend]]</f>
        <v>43000</v>
      </c>
      <c r="O28" t="s">
        <v>782</v>
      </c>
    </row>
    <row r="29" spans="1:15">
      <c r="A29" t="s">
        <v>39</v>
      </c>
      <c r="B29" t="s">
        <v>514</v>
      </c>
      <c r="C29" s="2">
        <v>45677.934259259258</v>
      </c>
      <c r="D29" s="1">
        <v>45680.934259259258</v>
      </c>
      <c r="E29" s="1">
        <v>45682.934259259258</v>
      </c>
      <c r="F29">
        <f>HotelSales[[#This Row],[Check_Out]]-HotelSales[[#This Row],[Check_In]]</f>
        <v>2</v>
      </c>
      <c r="G29" t="s">
        <v>775</v>
      </c>
      <c r="H29" t="s">
        <v>777</v>
      </c>
      <c r="I29" t="s">
        <v>779</v>
      </c>
      <c r="J29">
        <v>4</v>
      </c>
      <c r="K29">
        <v>13000</v>
      </c>
      <c r="L29">
        <f>HotelSales[[#This Row],[Stay_Nights]]*HotelSales[[#This Row],[Room_Rate]]</f>
        <v>26000</v>
      </c>
      <c r="M29">
        <v>11000</v>
      </c>
      <c r="N29">
        <f>HotelSales[[#This Row],[Room_Revenue]]+HotelSales[[#This Row],[Restaurant_Spend]]</f>
        <v>37000</v>
      </c>
      <c r="O29" t="s">
        <v>785</v>
      </c>
    </row>
    <row r="30" spans="1:15">
      <c r="A30" t="s">
        <v>40</v>
      </c>
      <c r="B30" t="s">
        <v>539</v>
      </c>
      <c r="C30" s="2">
        <v>45679.405046296299</v>
      </c>
      <c r="D30" s="1">
        <v>45693.405046296299</v>
      </c>
      <c r="E30" s="1">
        <v>45699.405046296299</v>
      </c>
      <c r="F30">
        <f>HotelSales[[#This Row],[Check_Out]]-HotelSales[[#This Row],[Check_In]]</f>
        <v>6</v>
      </c>
      <c r="G30" t="s">
        <v>775</v>
      </c>
      <c r="H30" t="s">
        <v>778</v>
      </c>
      <c r="I30" t="s">
        <v>781</v>
      </c>
      <c r="J30">
        <v>1</v>
      </c>
      <c r="K30">
        <v>12000</v>
      </c>
      <c r="L30">
        <f>HotelSales[[#This Row],[Stay_Nights]]*HotelSales[[#This Row],[Room_Rate]]</f>
        <v>72000</v>
      </c>
      <c r="M30">
        <v>2000</v>
      </c>
      <c r="N30">
        <f>HotelSales[[#This Row],[Room_Revenue]]+HotelSales[[#This Row],[Restaurant_Spend]]</f>
        <v>74000</v>
      </c>
      <c r="O30" t="s">
        <v>786</v>
      </c>
    </row>
    <row r="31" spans="1:15">
      <c r="A31" t="s">
        <v>41</v>
      </c>
      <c r="B31" t="s">
        <v>540</v>
      </c>
      <c r="C31" s="2">
        <v>45679.469571759262</v>
      </c>
      <c r="D31" s="1">
        <v>45696.469571759262</v>
      </c>
      <c r="E31" s="1">
        <v>45697.469571759262</v>
      </c>
      <c r="F31">
        <f>HotelSales[[#This Row],[Check_Out]]-HotelSales[[#This Row],[Check_In]]</f>
        <v>1</v>
      </c>
      <c r="G31" t="s">
        <v>775</v>
      </c>
      <c r="H31" t="s">
        <v>778</v>
      </c>
      <c r="I31" t="s">
        <v>781</v>
      </c>
      <c r="J31">
        <v>2</v>
      </c>
      <c r="K31">
        <v>12000</v>
      </c>
      <c r="L31">
        <f>HotelSales[[#This Row],[Stay_Nights]]*HotelSales[[#This Row],[Room_Rate]]</f>
        <v>12000</v>
      </c>
      <c r="M31">
        <v>5000</v>
      </c>
      <c r="N31">
        <f>HotelSales[[#This Row],[Room_Revenue]]+HotelSales[[#This Row],[Restaurant_Spend]]</f>
        <v>17000</v>
      </c>
      <c r="O31" t="s">
        <v>783</v>
      </c>
    </row>
    <row r="32" spans="1:15">
      <c r="A32" t="s">
        <v>42</v>
      </c>
      <c r="B32" t="s">
        <v>541</v>
      </c>
      <c r="C32" s="2">
        <v>45679.683113425926</v>
      </c>
      <c r="D32" s="1">
        <v>45692.683113425926</v>
      </c>
      <c r="E32" s="1">
        <v>45694.683113425926</v>
      </c>
      <c r="F32">
        <f>HotelSales[[#This Row],[Check_Out]]-HotelSales[[#This Row],[Check_In]]</f>
        <v>2</v>
      </c>
      <c r="G32" t="s">
        <v>775</v>
      </c>
      <c r="H32" t="s">
        <v>777</v>
      </c>
      <c r="I32" t="s">
        <v>779</v>
      </c>
      <c r="J32">
        <v>2</v>
      </c>
      <c r="K32">
        <v>11000</v>
      </c>
      <c r="L32">
        <f>HotelSales[[#This Row],[Stay_Nights]]*HotelSales[[#This Row],[Room_Rate]]</f>
        <v>22000</v>
      </c>
      <c r="M32">
        <v>10000</v>
      </c>
      <c r="N32">
        <f>HotelSales[[#This Row],[Room_Revenue]]+HotelSales[[#This Row],[Restaurant_Spend]]</f>
        <v>32000</v>
      </c>
      <c r="O32" t="s">
        <v>787</v>
      </c>
    </row>
    <row r="33" spans="1:15">
      <c r="A33" t="s">
        <v>43</v>
      </c>
      <c r="B33" t="s">
        <v>542</v>
      </c>
      <c r="C33" s="2">
        <v>45679.75335648148</v>
      </c>
      <c r="D33" s="1">
        <v>45687.75335648148</v>
      </c>
      <c r="E33" s="1">
        <v>45691.75335648148</v>
      </c>
      <c r="F33">
        <f>HotelSales[[#This Row],[Check_Out]]-HotelSales[[#This Row],[Check_In]]</f>
        <v>4</v>
      </c>
      <c r="G33" t="s">
        <v>775</v>
      </c>
      <c r="H33" t="s">
        <v>778</v>
      </c>
      <c r="I33" t="s">
        <v>780</v>
      </c>
      <c r="J33">
        <v>3</v>
      </c>
      <c r="K33">
        <v>11000</v>
      </c>
      <c r="L33">
        <f>HotelSales[[#This Row],[Stay_Nights]]*HotelSales[[#This Row],[Room_Rate]]</f>
        <v>44000</v>
      </c>
      <c r="M33">
        <v>7500</v>
      </c>
      <c r="N33">
        <f>HotelSales[[#This Row],[Room_Revenue]]+HotelSales[[#This Row],[Restaurant_Spend]]</f>
        <v>51500</v>
      </c>
      <c r="O33" t="s">
        <v>784</v>
      </c>
    </row>
    <row r="34" spans="1:15">
      <c r="A34" t="s">
        <v>44</v>
      </c>
      <c r="B34" t="s">
        <v>543</v>
      </c>
      <c r="C34" s="2">
        <v>45680.114641203712</v>
      </c>
      <c r="D34" s="1">
        <v>45688.114641203712</v>
      </c>
      <c r="E34" s="1">
        <v>45689.114641203712</v>
      </c>
      <c r="F34">
        <f>HotelSales[[#This Row],[Check_Out]]-HotelSales[[#This Row],[Check_In]]</f>
        <v>1</v>
      </c>
      <c r="G34" t="s">
        <v>775</v>
      </c>
      <c r="H34" t="s">
        <v>777</v>
      </c>
      <c r="I34" t="s">
        <v>780</v>
      </c>
      <c r="J34">
        <v>2</v>
      </c>
      <c r="K34">
        <v>12000</v>
      </c>
      <c r="L34">
        <f>HotelSales[[#This Row],[Stay_Nights]]*HotelSales[[#This Row],[Room_Rate]]</f>
        <v>12000</v>
      </c>
      <c r="M34">
        <v>9000</v>
      </c>
      <c r="N34">
        <f>HotelSales[[#This Row],[Room_Revenue]]+HotelSales[[#This Row],[Restaurant_Spend]]</f>
        <v>21000</v>
      </c>
      <c r="O34" t="s">
        <v>787</v>
      </c>
    </row>
    <row r="35" spans="1:15">
      <c r="A35" t="s">
        <v>45</v>
      </c>
      <c r="B35" t="s">
        <v>544</v>
      </c>
      <c r="C35" s="2">
        <v>45683.755787037036</v>
      </c>
      <c r="D35" s="1">
        <v>45693.755787037036</v>
      </c>
      <c r="E35" s="1">
        <v>45695.755787037036</v>
      </c>
      <c r="F35">
        <f>HotelSales[[#This Row],[Check_Out]]-HotelSales[[#This Row],[Check_In]]</f>
        <v>2</v>
      </c>
      <c r="G35" t="s">
        <v>775</v>
      </c>
      <c r="H35" t="s">
        <v>778</v>
      </c>
      <c r="I35" t="s">
        <v>781</v>
      </c>
      <c r="J35">
        <v>1</v>
      </c>
      <c r="K35">
        <v>12000</v>
      </c>
      <c r="L35">
        <f>HotelSales[[#This Row],[Stay_Nights]]*HotelSales[[#This Row],[Room_Rate]]</f>
        <v>24000</v>
      </c>
      <c r="M35">
        <v>4000</v>
      </c>
      <c r="N35">
        <f>HotelSales[[#This Row],[Room_Revenue]]+HotelSales[[#This Row],[Restaurant_Spend]]</f>
        <v>28000</v>
      </c>
      <c r="O35" t="s">
        <v>787</v>
      </c>
    </row>
    <row r="36" spans="1:15">
      <c r="A36" t="s">
        <v>46</v>
      </c>
      <c r="B36" t="s">
        <v>545</v>
      </c>
      <c r="C36" s="2">
        <v>45684.029953703714</v>
      </c>
      <c r="D36" s="1">
        <v>45696.029953703714</v>
      </c>
      <c r="E36" s="1">
        <v>45697.029953703714</v>
      </c>
      <c r="F36">
        <f>HotelSales[[#This Row],[Check_Out]]-HotelSales[[#This Row],[Check_In]]</f>
        <v>1</v>
      </c>
      <c r="G36" t="s">
        <v>776</v>
      </c>
      <c r="H36" t="s">
        <v>777</v>
      </c>
      <c r="I36" t="s">
        <v>780</v>
      </c>
      <c r="J36">
        <v>4</v>
      </c>
      <c r="K36">
        <v>18000</v>
      </c>
      <c r="L36">
        <f>HotelSales[[#This Row],[Stay_Nights]]*HotelSales[[#This Row],[Room_Rate]]</f>
        <v>18000</v>
      </c>
      <c r="M36">
        <v>3500</v>
      </c>
      <c r="N36">
        <f>HotelSales[[#This Row],[Room_Revenue]]+HotelSales[[#This Row],[Restaurant_Spend]]</f>
        <v>21500</v>
      </c>
      <c r="O36" t="s">
        <v>786</v>
      </c>
    </row>
    <row r="37" spans="1:15">
      <c r="A37" t="s">
        <v>47</v>
      </c>
      <c r="B37" t="s">
        <v>546</v>
      </c>
      <c r="C37" s="2">
        <v>45684.346759259257</v>
      </c>
      <c r="D37" s="1">
        <v>45712.346759259257</v>
      </c>
      <c r="E37" s="1">
        <v>45719.346759259257</v>
      </c>
      <c r="F37">
        <f>HotelSales[[#This Row],[Check_Out]]-HotelSales[[#This Row],[Check_In]]</f>
        <v>7</v>
      </c>
      <c r="G37" t="s">
        <v>774</v>
      </c>
      <c r="H37" t="s">
        <v>777</v>
      </c>
      <c r="I37" t="s">
        <v>779</v>
      </c>
      <c r="J37">
        <v>2</v>
      </c>
      <c r="K37">
        <v>30000</v>
      </c>
      <c r="L37">
        <f>HotelSales[[#This Row],[Stay_Nights]]*HotelSales[[#This Row],[Room_Rate]]</f>
        <v>210000</v>
      </c>
      <c r="M37">
        <v>6000</v>
      </c>
      <c r="N37">
        <f>HotelSales[[#This Row],[Room_Revenue]]+HotelSales[[#This Row],[Restaurant_Spend]]</f>
        <v>216000</v>
      </c>
      <c r="O37" t="s">
        <v>787</v>
      </c>
    </row>
    <row r="38" spans="1:15">
      <c r="A38" t="s">
        <v>48</v>
      </c>
      <c r="B38" t="s">
        <v>547</v>
      </c>
      <c r="C38" s="2">
        <v>45684.821018518523</v>
      </c>
      <c r="D38" s="1">
        <v>45687.821018518523</v>
      </c>
      <c r="E38" s="1">
        <v>45691.821018518523</v>
      </c>
      <c r="F38">
        <f>HotelSales[[#This Row],[Check_Out]]-HotelSales[[#This Row],[Check_In]]</f>
        <v>4</v>
      </c>
      <c r="G38" t="s">
        <v>775</v>
      </c>
      <c r="H38" t="s">
        <v>777</v>
      </c>
      <c r="I38" t="s">
        <v>781</v>
      </c>
      <c r="J38">
        <v>2</v>
      </c>
      <c r="K38">
        <v>13000</v>
      </c>
      <c r="L38">
        <f>HotelSales[[#This Row],[Stay_Nights]]*HotelSales[[#This Row],[Room_Rate]]</f>
        <v>52000</v>
      </c>
      <c r="M38">
        <v>13500</v>
      </c>
      <c r="N38">
        <f>HotelSales[[#This Row],[Room_Revenue]]+HotelSales[[#This Row],[Restaurant_Spend]]</f>
        <v>65500</v>
      </c>
      <c r="O38" t="s">
        <v>785</v>
      </c>
    </row>
    <row r="39" spans="1:15">
      <c r="A39" t="s">
        <v>49</v>
      </c>
      <c r="B39" t="s">
        <v>548</v>
      </c>
      <c r="C39" s="2">
        <v>45685.466886574082</v>
      </c>
      <c r="D39" s="1">
        <v>45698.466886574082</v>
      </c>
      <c r="E39" s="1">
        <v>45703.466886574082</v>
      </c>
      <c r="F39">
        <f>HotelSales[[#This Row],[Check_Out]]-HotelSales[[#This Row],[Check_In]]</f>
        <v>5</v>
      </c>
      <c r="G39" t="s">
        <v>775</v>
      </c>
      <c r="H39" t="s">
        <v>778</v>
      </c>
      <c r="I39" t="s">
        <v>780</v>
      </c>
      <c r="J39">
        <v>4</v>
      </c>
      <c r="K39">
        <v>12000</v>
      </c>
      <c r="L39">
        <f>HotelSales[[#This Row],[Stay_Nights]]*HotelSales[[#This Row],[Room_Rate]]</f>
        <v>60000</v>
      </c>
      <c r="M39">
        <v>6000</v>
      </c>
      <c r="N39">
        <f>HotelSales[[#This Row],[Room_Revenue]]+HotelSales[[#This Row],[Restaurant_Spend]]</f>
        <v>66000</v>
      </c>
      <c r="O39" t="s">
        <v>787</v>
      </c>
    </row>
    <row r="40" spans="1:15">
      <c r="A40" t="s">
        <v>50</v>
      </c>
      <c r="B40" t="s">
        <v>549</v>
      </c>
      <c r="C40" s="2">
        <v>45685.573576388888</v>
      </c>
      <c r="D40" s="1">
        <v>45698.573576388888</v>
      </c>
      <c r="E40" s="1">
        <v>45702.573576388888</v>
      </c>
      <c r="F40">
        <f>HotelSales[[#This Row],[Check_Out]]-HotelSales[[#This Row],[Check_In]]</f>
        <v>4</v>
      </c>
      <c r="G40" t="s">
        <v>776</v>
      </c>
      <c r="H40" t="s">
        <v>778</v>
      </c>
      <c r="I40" t="s">
        <v>781</v>
      </c>
      <c r="J40">
        <v>2</v>
      </c>
      <c r="K40">
        <v>19000</v>
      </c>
      <c r="L40">
        <f>HotelSales[[#This Row],[Stay_Nights]]*HotelSales[[#This Row],[Room_Rate]]</f>
        <v>76000</v>
      </c>
      <c r="M40">
        <v>8500</v>
      </c>
      <c r="N40">
        <f>HotelSales[[#This Row],[Room_Revenue]]+HotelSales[[#This Row],[Restaurant_Spend]]</f>
        <v>84500</v>
      </c>
      <c r="O40" t="s">
        <v>783</v>
      </c>
    </row>
    <row r="41" spans="1:15">
      <c r="A41" t="s">
        <v>51</v>
      </c>
      <c r="B41" t="s">
        <v>540</v>
      </c>
      <c r="C41" s="2">
        <v>45685.621388888889</v>
      </c>
      <c r="D41" s="1">
        <v>45691.621388888889</v>
      </c>
      <c r="E41" s="1">
        <v>45698.621388888889</v>
      </c>
      <c r="F41">
        <f>HotelSales[[#This Row],[Check_Out]]-HotelSales[[#This Row],[Check_In]]</f>
        <v>7</v>
      </c>
      <c r="G41" t="s">
        <v>774</v>
      </c>
      <c r="H41" t="s">
        <v>778</v>
      </c>
      <c r="I41" t="s">
        <v>780</v>
      </c>
      <c r="J41">
        <v>4</v>
      </c>
      <c r="K41">
        <v>29000</v>
      </c>
      <c r="L41">
        <f>HotelSales[[#This Row],[Stay_Nights]]*HotelSales[[#This Row],[Room_Rate]]</f>
        <v>203000</v>
      </c>
      <c r="M41">
        <v>7500</v>
      </c>
      <c r="N41">
        <f>HotelSales[[#This Row],[Room_Revenue]]+HotelSales[[#This Row],[Restaurant_Spend]]</f>
        <v>210500</v>
      </c>
      <c r="O41" t="s">
        <v>784</v>
      </c>
    </row>
    <row r="42" spans="1:15">
      <c r="A42" t="s">
        <v>52</v>
      </c>
      <c r="B42" t="s">
        <v>550</v>
      </c>
      <c r="C42" s="2">
        <v>45686.399907407409</v>
      </c>
      <c r="D42" s="1">
        <v>45698.399907407409</v>
      </c>
      <c r="E42" s="1">
        <v>45705.399907407409</v>
      </c>
      <c r="F42">
        <f>HotelSales[[#This Row],[Check_Out]]-HotelSales[[#This Row],[Check_In]]</f>
        <v>7</v>
      </c>
      <c r="G42" t="s">
        <v>775</v>
      </c>
      <c r="H42" t="s">
        <v>777</v>
      </c>
      <c r="I42" t="s">
        <v>781</v>
      </c>
      <c r="J42">
        <v>2</v>
      </c>
      <c r="K42">
        <v>11000</v>
      </c>
      <c r="L42">
        <f>HotelSales[[#This Row],[Stay_Nights]]*HotelSales[[#This Row],[Room_Rate]]</f>
        <v>77000</v>
      </c>
      <c r="M42">
        <v>8500</v>
      </c>
      <c r="N42">
        <f>HotelSales[[#This Row],[Room_Revenue]]+HotelSales[[#This Row],[Restaurant_Spend]]</f>
        <v>85500</v>
      </c>
      <c r="O42" t="s">
        <v>783</v>
      </c>
    </row>
    <row r="43" spans="1:15">
      <c r="A43" t="s">
        <v>53</v>
      </c>
      <c r="B43" t="s">
        <v>551</v>
      </c>
      <c r="C43" s="2">
        <v>45687.247152777767</v>
      </c>
      <c r="D43" s="1">
        <v>45700.247152777767</v>
      </c>
      <c r="E43" s="1">
        <v>45706.247152777767</v>
      </c>
      <c r="F43">
        <f>HotelSales[[#This Row],[Check_Out]]-HotelSales[[#This Row],[Check_In]]</f>
        <v>6</v>
      </c>
      <c r="G43" t="s">
        <v>775</v>
      </c>
      <c r="H43" t="s">
        <v>778</v>
      </c>
      <c r="I43" t="s">
        <v>780</v>
      </c>
      <c r="J43">
        <v>4</v>
      </c>
      <c r="K43">
        <v>13000</v>
      </c>
      <c r="L43">
        <f>HotelSales[[#This Row],[Stay_Nights]]*HotelSales[[#This Row],[Room_Rate]]</f>
        <v>78000</v>
      </c>
      <c r="M43">
        <v>7500</v>
      </c>
      <c r="N43">
        <f>HotelSales[[#This Row],[Room_Revenue]]+HotelSales[[#This Row],[Restaurant_Spend]]</f>
        <v>85500</v>
      </c>
      <c r="O43" t="s">
        <v>782</v>
      </c>
    </row>
    <row r="44" spans="1:15">
      <c r="A44" t="s">
        <v>54</v>
      </c>
      <c r="B44" t="s">
        <v>552</v>
      </c>
      <c r="C44" s="2">
        <v>45688.063425925917</v>
      </c>
      <c r="D44" s="1">
        <v>45706.063425925917</v>
      </c>
      <c r="E44" s="1">
        <v>45708.063425925917</v>
      </c>
      <c r="F44">
        <f>HotelSales[[#This Row],[Check_Out]]-HotelSales[[#This Row],[Check_In]]</f>
        <v>2</v>
      </c>
      <c r="G44" t="s">
        <v>776</v>
      </c>
      <c r="H44" t="s">
        <v>778</v>
      </c>
      <c r="I44" t="s">
        <v>781</v>
      </c>
      <c r="J44">
        <v>3</v>
      </c>
      <c r="K44">
        <v>17000</v>
      </c>
      <c r="L44">
        <f>HotelSales[[#This Row],[Stay_Nights]]*HotelSales[[#This Row],[Room_Rate]]</f>
        <v>34000</v>
      </c>
      <c r="M44">
        <v>14500</v>
      </c>
      <c r="N44">
        <f>HotelSales[[#This Row],[Room_Revenue]]+HotelSales[[#This Row],[Restaurant_Spend]]</f>
        <v>48500</v>
      </c>
      <c r="O44" t="s">
        <v>786</v>
      </c>
    </row>
    <row r="45" spans="1:15">
      <c r="A45" t="s">
        <v>55</v>
      </c>
      <c r="B45" t="s">
        <v>553</v>
      </c>
      <c r="C45" s="2">
        <v>45688.559351851851</v>
      </c>
      <c r="D45" s="1">
        <v>45715.559351851851</v>
      </c>
      <c r="E45" s="1">
        <v>45721.559351851851</v>
      </c>
      <c r="F45">
        <f>HotelSales[[#This Row],[Check_Out]]-HotelSales[[#This Row],[Check_In]]</f>
        <v>6</v>
      </c>
      <c r="G45" t="s">
        <v>776</v>
      </c>
      <c r="H45" t="s">
        <v>778</v>
      </c>
      <c r="I45" t="s">
        <v>780</v>
      </c>
      <c r="J45">
        <v>4</v>
      </c>
      <c r="K45">
        <v>17000</v>
      </c>
      <c r="L45">
        <f>HotelSales[[#This Row],[Stay_Nights]]*HotelSales[[#This Row],[Room_Rate]]</f>
        <v>102000</v>
      </c>
      <c r="M45">
        <v>12000</v>
      </c>
      <c r="N45">
        <f>HotelSales[[#This Row],[Room_Revenue]]+HotelSales[[#This Row],[Restaurant_Spend]]</f>
        <v>114000</v>
      </c>
      <c r="O45" t="s">
        <v>787</v>
      </c>
    </row>
    <row r="46" spans="1:15">
      <c r="A46" t="s">
        <v>56</v>
      </c>
      <c r="B46" t="s">
        <v>554</v>
      </c>
      <c r="C46" s="2">
        <v>45688.65729166667</v>
      </c>
      <c r="D46" s="1">
        <v>45693.65729166667</v>
      </c>
      <c r="E46" s="1">
        <v>45695.65729166667</v>
      </c>
      <c r="F46">
        <f>HotelSales[[#This Row],[Check_Out]]-HotelSales[[#This Row],[Check_In]]</f>
        <v>2</v>
      </c>
      <c r="G46" t="s">
        <v>776</v>
      </c>
      <c r="H46" t="s">
        <v>778</v>
      </c>
      <c r="I46" t="s">
        <v>779</v>
      </c>
      <c r="J46">
        <v>4</v>
      </c>
      <c r="K46">
        <v>19000</v>
      </c>
      <c r="L46">
        <f>HotelSales[[#This Row],[Stay_Nights]]*HotelSales[[#This Row],[Room_Rate]]</f>
        <v>38000</v>
      </c>
      <c r="M46">
        <v>12000</v>
      </c>
      <c r="N46">
        <f>HotelSales[[#This Row],[Room_Revenue]]+HotelSales[[#This Row],[Restaurant_Spend]]</f>
        <v>50000</v>
      </c>
      <c r="O46" t="s">
        <v>784</v>
      </c>
    </row>
    <row r="47" spans="1:15">
      <c r="A47" t="s">
        <v>57</v>
      </c>
      <c r="B47" t="s">
        <v>555</v>
      </c>
      <c r="C47" s="2">
        <v>45688.770497685182</v>
      </c>
      <c r="D47" s="1">
        <v>45700.770497685182</v>
      </c>
      <c r="E47" s="1">
        <v>45702.770497685182</v>
      </c>
      <c r="F47">
        <f>HotelSales[[#This Row],[Check_Out]]-HotelSales[[#This Row],[Check_In]]</f>
        <v>2</v>
      </c>
      <c r="G47" t="s">
        <v>775</v>
      </c>
      <c r="H47" t="s">
        <v>778</v>
      </c>
      <c r="I47" t="s">
        <v>779</v>
      </c>
      <c r="J47">
        <v>2</v>
      </c>
      <c r="K47">
        <v>12000</v>
      </c>
      <c r="L47">
        <f>HotelSales[[#This Row],[Stay_Nights]]*HotelSales[[#This Row],[Room_Rate]]</f>
        <v>24000</v>
      </c>
      <c r="M47">
        <v>500</v>
      </c>
      <c r="N47">
        <f>HotelSales[[#This Row],[Room_Revenue]]+HotelSales[[#This Row],[Restaurant_Spend]]</f>
        <v>24500</v>
      </c>
      <c r="O47" t="s">
        <v>784</v>
      </c>
    </row>
    <row r="48" spans="1:15">
      <c r="A48" t="s">
        <v>58</v>
      </c>
      <c r="B48" t="s">
        <v>551</v>
      </c>
      <c r="C48" s="2">
        <v>45688.87809027778</v>
      </c>
      <c r="D48" s="1">
        <v>45716.87809027778</v>
      </c>
      <c r="E48" s="1">
        <v>45722.87809027778</v>
      </c>
      <c r="F48">
        <f>HotelSales[[#This Row],[Check_Out]]-HotelSales[[#This Row],[Check_In]]</f>
        <v>6</v>
      </c>
      <c r="G48" t="s">
        <v>776</v>
      </c>
      <c r="H48" t="s">
        <v>778</v>
      </c>
      <c r="I48" t="s">
        <v>780</v>
      </c>
      <c r="J48">
        <v>2</v>
      </c>
      <c r="K48">
        <v>17000</v>
      </c>
      <c r="L48">
        <f>HotelSales[[#This Row],[Stay_Nights]]*HotelSales[[#This Row],[Room_Rate]]</f>
        <v>102000</v>
      </c>
      <c r="M48">
        <v>5000</v>
      </c>
      <c r="N48">
        <f>HotelSales[[#This Row],[Room_Revenue]]+HotelSales[[#This Row],[Restaurant_Spend]]</f>
        <v>107000</v>
      </c>
      <c r="O48" t="s">
        <v>786</v>
      </c>
    </row>
    <row r="49" spans="1:15">
      <c r="A49" t="s">
        <v>59</v>
      </c>
      <c r="B49" t="s">
        <v>556</v>
      </c>
      <c r="C49" s="2">
        <v>45689.149027777778</v>
      </c>
      <c r="D49" s="1">
        <v>45695.149027777778</v>
      </c>
      <c r="E49" s="1">
        <v>45696.149027777778</v>
      </c>
      <c r="F49">
        <f>HotelSales[[#This Row],[Check_Out]]-HotelSales[[#This Row],[Check_In]]</f>
        <v>1</v>
      </c>
      <c r="G49" t="s">
        <v>774</v>
      </c>
      <c r="H49" t="s">
        <v>778</v>
      </c>
      <c r="I49" t="s">
        <v>781</v>
      </c>
      <c r="J49">
        <v>3</v>
      </c>
      <c r="K49">
        <v>29000</v>
      </c>
      <c r="L49">
        <f>HotelSales[[#This Row],[Stay_Nights]]*HotelSales[[#This Row],[Room_Rate]]</f>
        <v>29000</v>
      </c>
      <c r="M49">
        <v>5500</v>
      </c>
      <c r="N49">
        <f>HotelSales[[#This Row],[Room_Revenue]]+HotelSales[[#This Row],[Restaurant_Spend]]</f>
        <v>34500</v>
      </c>
      <c r="O49" t="s">
        <v>786</v>
      </c>
    </row>
    <row r="50" spans="1:15">
      <c r="A50" t="s">
        <v>60</v>
      </c>
      <c r="B50" t="s">
        <v>557</v>
      </c>
      <c r="C50" s="2">
        <v>45689.986597222232</v>
      </c>
      <c r="D50" s="1">
        <v>45707.986597222232</v>
      </c>
      <c r="E50" s="1">
        <v>45709.986597222232</v>
      </c>
      <c r="F50">
        <f>HotelSales[[#This Row],[Check_Out]]-HotelSales[[#This Row],[Check_In]]</f>
        <v>2</v>
      </c>
      <c r="G50" t="s">
        <v>775</v>
      </c>
      <c r="H50" t="s">
        <v>778</v>
      </c>
      <c r="I50" t="s">
        <v>780</v>
      </c>
      <c r="J50">
        <v>4</v>
      </c>
      <c r="K50">
        <v>13000</v>
      </c>
      <c r="L50">
        <f>HotelSales[[#This Row],[Stay_Nights]]*HotelSales[[#This Row],[Room_Rate]]</f>
        <v>26000</v>
      </c>
      <c r="M50">
        <v>0</v>
      </c>
      <c r="N50">
        <f>HotelSales[[#This Row],[Room_Revenue]]+HotelSales[[#This Row],[Restaurant_Spend]]</f>
        <v>26000</v>
      </c>
      <c r="O50" t="s">
        <v>787</v>
      </c>
    </row>
    <row r="51" spans="1:15">
      <c r="A51" t="s">
        <v>61</v>
      </c>
      <c r="B51" t="s">
        <v>558</v>
      </c>
      <c r="C51" s="2">
        <v>45692.333587962959</v>
      </c>
      <c r="D51" s="1">
        <v>45703.333587962959</v>
      </c>
      <c r="E51" s="1">
        <v>45706.333587962959</v>
      </c>
      <c r="F51">
        <f>HotelSales[[#This Row],[Check_Out]]-HotelSales[[#This Row],[Check_In]]</f>
        <v>3</v>
      </c>
      <c r="G51" t="s">
        <v>775</v>
      </c>
      <c r="H51" t="s">
        <v>778</v>
      </c>
      <c r="I51" t="s">
        <v>781</v>
      </c>
      <c r="J51">
        <v>3</v>
      </c>
      <c r="K51">
        <v>11000</v>
      </c>
      <c r="L51">
        <f>HotelSales[[#This Row],[Stay_Nights]]*HotelSales[[#This Row],[Room_Rate]]</f>
        <v>33000</v>
      </c>
      <c r="M51">
        <v>6500</v>
      </c>
      <c r="N51">
        <f>HotelSales[[#This Row],[Room_Revenue]]+HotelSales[[#This Row],[Restaurant_Spend]]</f>
        <v>39500</v>
      </c>
      <c r="O51" t="s">
        <v>782</v>
      </c>
    </row>
    <row r="52" spans="1:15">
      <c r="A52" t="s">
        <v>62</v>
      </c>
      <c r="B52" t="s">
        <v>559</v>
      </c>
      <c r="C52" s="2">
        <v>45692.447245370371</v>
      </c>
      <c r="D52" s="1">
        <v>45717.447245370371</v>
      </c>
      <c r="E52" s="1">
        <v>45720.447245370371</v>
      </c>
      <c r="F52">
        <f>HotelSales[[#This Row],[Check_Out]]-HotelSales[[#This Row],[Check_In]]</f>
        <v>3</v>
      </c>
      <c r="G52" t="s">
        <v>775</v>
      </c>
      <c r="H52" t="s">
        <v>777</v>
      </c>
      <c r="I52" t="s">
        <v>780</v>
      </c>
      <c r="J52">
        <v>4</v>
      </c>
      <c r="K52">
        <v>12000</v>
      </c>
      <c r="L52">
        <f>HotelSales[[#This Row],[Stay_Nights]]*HotelSales[[#This Row],[Room_Rate]]</f>
        <v>36000</v>
      </c>
      <c r="M52">
        <v>5500</v>
      </c>
      <c r="N52">
        <f>HotelSales[[#This Row],[Room_Revenue]]+HotelSales[[#This Row],[Restaurant_Spend]]</f>
        <v>41500</v>
      </c>
      <c r="O52" t="s">
        <v>782</v>
      </c>
    </row>
    <row r="53" spans="1:15">
      <c r="A53" t="s">
        <v>63</v>
      </c>
      <c r="B53" t="s">
        <v>557</v>
      </c>
      <c r="C53" s="2">
        <v>45692.600405092591</v>
      </c>
      <c r="D53" s="1">
        <v>45707.600405092591</v>
      </c>
      <c r="E53" s="1">
        <v>45708.600405092591</v>
      </c>
      <c r="F53">
        <f>HotelSales[[#This Row],[Check_Out]]-HotelSales[[#This Row],[Check_In]]</f>
        <v>1</v>
      </c>
      <c r="G53" t="s">
        <v>775</v>
      </c>
      <c r="H53" t="s">
        <v>777</v>
      </c>
      <c r="I53" t="s">
        <v>781</v>
      </c>
      <c r="J53">
        <v>4</v>
      </c>
      <c r="K53">
        <v>12000</v>
      </c>
      <c r="L53">
        <f>HotelSales[[#This Row],[Stay_Nights]]*HotelSales[[#This Row],[Room_Rate]]</f>
        <v>12000</v>
      </c>
      <c r="M53">
        <v>7500</v>
      </c>
      <c r="N53">
        <f>HotelSales[[#This Row],[Room_Revenue]]+HotelSales[[#This Row],[Restaurant_Spend]]</f>
        <v>19500</v>
      </c>
      <c r="O53" t="s">
        <v>782</v>
      </c>
    </row>
    <row r="54" spans="1:15">
      <c r="A54" t="s">
        <v>64</v>
      </c>
      <c r="B54" t="s">
        <v>560</v>
      </c>
      <c r="C54" s="2">
        <v>45694.173078703701</v>
      </c>
      <c r="D54" s="1">
        <v>45700.173078703701</v>
      </c>
      <c r="E54" s="1">
        <v>45705.173078703701</v>
      </c>
      <c r="F54">
        <f>HotelSales[[#This Row],[Check_Out]]-HotelSales[[#This Row],[Check_In]]</f>
        <v>5</v>
      </c>
      <c r="G54" t="s">
        <v>775</v>
      </c>
      <c r="H54" t="s">
        <v>778</v>
      </c>
      <c r="I54" t="s">
        <v>781</v>
      </c>
      <c r="J54">
        <v>2</v>
      </c>
      <c r="K54">
        <v>11000</v>
      </c>
      <c r="L54">
        <f>HotelSales[[#This Row],[Stay_Nights]]*HotelSales[[#This Row],[Room_Rate]]</f>
        <v>55000</v>
      </c>
      <c r="M54">
        <v>5000</v>
      </c>
      <c r="N54">
        <f>HotelSales[[#This Row],[Room_Revenue]]+HotelSales[[#This Row],[Restaurant_Spend]]</f>
        <v>60000</v>
      </c>
      <c r="O54" t="s">
        <v>785</v>
      </c>
    </row>
    <row r="55" spans="1:15">
      <c r="A55" t="s">
        <v>65</v>
      </c>
      <c r="B55" t="s">
        <v>561</v>
      </c>
      <c r="C55" s="2">
        <v>45694.994675925933</v>
      </c>
      <c r="D55" s="1">
        <v>45718.994675925933</v>
      </c>
      <c r="E55" s="1">
        <v>45721.994675925933</v>
      </c>
      <c r="F55">
        <f>HotelSales[[#This Row],[Check_Out]]-HotelSales[[#This Row],[Check_In]]</f>
        <v>3</v>
      </c>
      <c r="G55" t="s">
        <v>776</v>
      </c>
      <c r="H55" t="s">
        <v>778</v>
      </c>
      <c r="I55" t="s">
        <v>779</v>
      </c>
      <c r="J55">
        <v>3</v>
      </c>
      <c r="K55">
        <v>17000</v>
      </c>
      <c r="L55">
        <f>HotelSales[[#This Row],[Stay_Nights]]*HotelSales[[#This Row],[Room_Rate]]</f>
        <v>51000</v>
      </c>
      <c r="M55">
        <v>6500</v>
      </c>
      <c r="N55">
        <f>HotelSales[[#This Row],[Room_Revenue]]+HotelSales[[#This Row],[Restaurant_Spend]]</f>
        <v>57500</v>
      </c>
      <c r="O55" t="s">
        <v>784</v>
      </c>
    </row>
    <row r="56" spans="1:15">
      <c r="A56" t="s">
        <v>66</v>
      </c>
      <c r="B56" t="s">
        <v>562</v>
      </c>
      <c r="C56" s="2">
        <v>45695.63076388889</v>
      </c>
      <c r="D56" s="1">
        <v>45697.63076388889</v>
      </c>
      <c r="E56" s="1">
        <v>45701.63076388889</v>
      </c>
      <c r="F56">
        <f>HotelSales[[#This Row],[Check_Out]]-HotelSales[[#This Row],[Check_In]]</f>
        <v>4</v>
      </c>
      <c r="G56" t="s">
        <v>776</v>
      </c>
      <c r="H56" t="s">
        <v>778</v>
      </c>
      <c r="I56" t="s">
        <v>781</v>
      </c>
      <c r="J56">
        <v>3</v>
      </c>
      <c r="K56">
        <v>17000</v>
      </c>
      <c r="L56">
        <f>HotelSales[[#This Row],[Stay_Nights]]*HotelSales[[#This Row],[Room_Rate]]</f>
        <v>68000</v>
      </c>
      <c r="M56">
        <v>4000</v>
      </c>
      <c r="N56">
        <f>HotelSales[[#This Row],[Room_Revenue]]+HotelSales[[#This Row],[Restaurant_Spend]]</f>
        <v>72000</v>
      </c>
      <c r="O56" t="s">
        <v>786</v>
      </c>
    </row>
    <row r="57" spans="1:15">
      <c r="A57" t="s">
        <v>67</v>
      </c>
      <c r="B57" t="s">
        <v>563</v>
      </c>
      <c r="C57" s="2">
        <v>45695.788287037038</v>
      </c>
      <c r="D57" s="1">
        <v>45705.788287037038</v>
      </c>
      <c r="E57" s="1">
        <v>45708.788287037038</v>
      </c>
      <c r="F57">
        <f>HotelSales[[#This Row],[Check_Out]]-HotelSales[[#This Row],[Check_In]]</f>
        <v>3</v>
      </c>
      <c r="G57" t="s">
        <v>775</v>
      </c>
      <c r="H57" t="s">
        <v>778</v>
      </c>
      <c r="I57" t="s">
        <v>781</v>
      </c>
      <c r="J57">
        <v>2</v>
      </c>
      <c r="K57">
        <v>13000</v>
      </c>
      <c r="L57">
        <f>HotelSales[[#This Row],[Stay_Nights]]*HotelSales[[#This Row],[Room_Rate]]</f>
        <v>39000</v>
      </c>
      <c r="M57">
        <v>7000</v>
      </c>
      <c r="N57">
        <f>HotelSales[[#This Row],[Room_Revenue]]+HotelSales[[#This Row],[Restaurant_Spend]]</f>
        <v>46000</v>
      </c>
      <c r="O57" t="s">
        <v>783</v>
      </c>
    </row>
    <row r="58" spans="1:15">
      <c r="A58" t="s">
        <v>68</v>
      </c>
      <c r="B58" t="s">
        <v>564</v>
      </c>
      <c r="C58" s="2">
        <v>45696.364490740743</v>
      </c>
      <c r="D58" s="1">
        <v>45715.364490740743</v>
      </c>
      <c r="E58" s="1">
        <v>45718.364490740743</v>
      </c>
      <c r="F58">
        <f>HotelSales[[#This Row],[Check_Out]]-HotelSales[[#This Row],[Check_In]]</f>
        <v>3</v>
      </c>
      <c r="G58" t="s">
        <v>775</v>
      </c>
      <c r="H58" t="s">
        <v>778</v>
      </c>
      <c r="I58" t="s">
        <v>779</v>
      </c>
      <c r="J58">
        <v>2</v>
      </c>
      <c r="K58">
        <v>11000</v>
      </c>
      <c r="L58">
        <f>HotelSales[[#This Row],[Stay_Nights]]*HotelSales[[#This Row],[Room_Rate]]</f>
        <v>33000</v>
      </c>
      <c r="M58">
        <v>10000</v>
      </c>
      <c r="N58">
        <f>HotelSales[[#This Row],[Room_Revenue]]+HotelSales[[#This Row],[Restaurant_Spend]]</f>
        <v>43000</v>
      </c>
      <c r="O58" t="s">
        <v>784</v>
      </c>
    </row>
    <row r="59" spans="1:15">
      <c r="A59" t="s">
        <v>69</v>
      </c>
      <c r="B59" t="s">
        <v>565</v>
      </c>
      <c r="C59" s="2">
        <v>45696.416018518517</v>
      </c>
      <c r="D59" s="1">
        <v>45697.416018518517</v>
      </c>
      <c r="E59" s="1">
        <v>45700.416018518517</v>
      </c>
      <c r="F59">
        <f>HotelSales[[#This Row],[Check_Out]]-HotelSales[[#This Row],[Check_In]]</f>
        <v>3</v>
      </c>
      <c r="G59" t="s">
        <v>775</v>
      </c>
      <c r="H59" t="s">
        <v>778</v>
      </c>
      <c r="I59" t="s">
        <v>779</v>
      </c>
      <c r="J59">
        <v>3</v>
      </c>
      <c r="K59">
        <v>13000</v>
      </c>
      <c r="L59">
        <f>HotelSales[[#This Row],[Stay_Nights]]*HotelSales[[#This Row],[Room_Rate]]</f>
        <v>39000</v>
      </c>
      <c r="M59">
        <v>1000</v>
      </c>
      <c r="N59">
        <f>HotelSales[[#This Row],[Room_Revenue]]+HotelSales[[#This Row],[Restaurant_Spend]]</f>
        <v>40000</v>
      </c>
      <c r="O59" t="s">
        <v>784</v>
      </c>
    </row>
    <row r="60" spans="1:15">
      <c r="A60" t="s">
        <v>70</v>
      </c>
      <c r="B60" t="s">
        <v>566</v>
      </c>
      <c r="C60" s="2">
        <v>45696.639374999999</v>
      </c>
      <c r="D60" s="1">
        <v>45726.639374999999</v>
      </c>
      <c r="E60" s="1">
        <v>45731.639374999999</v>
      </c>
      <c r="F60">
        <f>HotelSales[[#This Row],[Check_Out]]-HotelSales[[#This Row],[Check_In]]</f>
        <v>5</v>
      </c>
      <c r="G60" t="s">
        <v>775</v>
      </c>
      <c r="H60" t="s">
        <v>777</v>
      </c>
      <c r="I60" t="s">
        <v>779</v>
      </c>
      <c r="J60">
        <v>3</v>
      </c>
      <c r="K60">
        <v>13000</v>
      </c>
      <c r="L60">
        <f>HotelSales[[#This Row],[Stay_Nights]]*HotelSales[[#This Row],[Room_Rate]]</f>
        <v>65000</v>
      </c>
      <c r="M60">
        <v>7000</v>
      </c>
      <c r="N60">
        <f>HotelSales[[#This Row],[Room_Revenue]]+HotelSales[[#This Row],[Restaurant_Spend]]</f>
        <v>72000</v>
      </c>
      <c r="O60" t="s">
        <v>786</v>
      </c>
    </row>
    <row r="61" spans="1:15">
      <c r="A61" t="s">
        <v>71</v>
      </c>
      <c r="B61" t="s">
        <v>567</v>
      </c>
      <c r="C61" s="2">
        <v>45697.001388888893</v>
      </c>
      <c r="D61" s="1">
        <v>45722.001388888893</v>
      </c>
      <c r="E61" s="1">
        <v>45726.001388888893</v>
      </c>
      <c r="F61">
        <f>HotelSales[[#This Row],[Check_Out]]-HotelSales[[#This Row],[Check_In]]</f>
        <v>4</v>
      </c>
      <c r="G61" t="s">
        <v>775</v>
      </c>
      <c r="H61" t="s">
        <v>777</v>
      </c>
      <c r="I61" t="s">
        <v>779</v>
      </c>
      <c r="J61">
        <v>2</v>
      </c>
      <c r="K61">
        <v>12000</v>
      </c>
      <c r="L61">
        <f>HotelSales[[#This Row],[Stay_Nights]]*HotelSales[[#This Row],[Room_Rate]]</f>
        <v>48000</v>
      </c>
      <c r="M61">
        <v>7000</v>
      </c>
      <c r="N61">
        <f>HotelSales[[#This Row],[Room_Revenue]]+HotelSales[[#This Row],[Restaurant_Spend]]</f>
        <v>55000</v>
      </c>
      <c r="O61" t="s">
        <v>787</v>
      </c>
    </row>
    <row r="62" spans="1:15">
      <c r="A62" t="s">
        <v>72</v>
      </c>
      <c r="B62" t="s">
        <v>568</v>
      </c>
      <c r="C62" s="2">
        <v>45699.66510416667</v>
      </c>
      <c r="D62" s="1">
        <v>45702.66510416667</v>
      </c>
      <c r="E62" s="1">
        <v>45705.66510416667</v>
      </c>
      <c r="F62">
        <f>HotelSales[[#This Row],[Check_Out]]-HotelSales[[#This Row],[Check_In]]</f>
        <v>3</v>
      </c>
      <c r="G62" t="s">
        <v>774</v>
      </c>
      <c r="H62" t="s">
        <v>778</v>
      </c>
      <c r="I62" t="s">
        <v>780</v>
      </c>
      <c r="J62">
        <v>2</v>
      </c>
      <c r="K62">
        <v>29000</v>
      </c>
      <c r="L62">
        <f>HotelSales[[#This Row],[Stay_Nights]]*HotelSales[[#This Row],[Room_Rate]]</f>
        <v>87000</v>
      </c>
      <c r="M62">
        <v>7000</v>
      </c>
      <c r="N62">
        <f>HotelSales[[#This Row],[Room_Revenue]]+HotelSales[[#This Row],[Restaurant_Spend]]</f>
        <v>94000</v>
      </c>
      <c r="O62" t="s">
        <v>785</v>
      </c>
    </row>
    <row r="63" spans="1:15">
      <c r="A63" t="s">
        <v>73</v>
      </c>
      <c r="B63" t="s">
        <v>552</v>
      </c>
      <c r="C63" s="2">
        <v>45700.92423611111</v>
      </c>
      <c r="D63" s="1">
        <v>45722.92423611111</v>
      </c>
      <c r="E63" s="1">
        <v>45729.92423611111</v>
      </c>
      <c r="F63">
        <f>HotelSales[[#This Row],[Check_Out]]-HotelSales[[#This Row],[Check_In]]</f>
        <v>7</v>
      </c>
      <c r="G63" t="s">
        <v>776</v>
      </c>
      <c r="H63" t="s">
        <v>777</v>
      </c>
      <c r="I63" t="s">
        <v>780</v>
      </c>
      <c r="J63">
        <v>2</v>
      </c>
      <c r="K63">
        <v>18000</v>
      </c>
      <c r="L63">
        <f>HotelSales[[#This Row],[Stay_Nights]]*HotelSales[[#This Row],[Room_Rate]]</f>
        <v>126000</v>
      </c>
      <c r="M63">
        <v>8000</v>
      </c>
      <c r="N63">
        <f>HotelSales[[#This Row],[Room_Revenue]]+HotelSales[[#This Row],[Restaurant_Spend]]</f>
        <v>134000</v>
      </c>
      <c r="O63" t="s">
        <v>786</v>
      </c>
    </row>
    <row r="64" spans="1:15">
      <c r="A64" t="s">
        <v>74</v>
      </c>
      <c r="B64" t="s">
        <v>569</v>
      </c>
      <c r="C64" s="2">
        <v>45701.300879629627</v>
      </c>
      <c r="D64" s="1">
        <v>45708.300879629627</v>
      </c>
      <c r="E64" s="1">
        <v>45714.300879629627</v>
      </c>
      <c r="F64">
        <f>HotelSales[[#This Row],[Check_Out]]-HotelSales[[#This Row],[Check_In]]</f>
        <v>6</v>
      </c>
      <c r="G64" t="s">
        <v>776</v>
      </c>
      <c r="H64" t="s">
        <v>778</v>
      </c>
      <c r="I64" t="s">
        <v>780</v>
      </c>
      <c r="J64">
        <v>3</v>
      </c>
      <c r="K64">
        <v>17000</v>
      </c>
      <c r="L64">
        <f>HotelSales[[#This Row],[Stay_Nights]]*HotelSales[[#This Row],[Room_Rate]]</f>
        <v>102000</v>
      </c>
      <c r="M64">
        <v>4000</v>
      </c>
      <c r="N64">
        <f>HotelSales[[#This Row],[Room_Revenue]]+HotelSales[[#This Row],[Restaurant_Spend]]</f>
        <v>106000</v>
      </c>
      <c r="O64" t="s">
        <v>782</v>
      </c>
    </row>
    <row r="65" spans="1:15">
      <c r="A65" t="s">
        <v>75</v>
      </c>
      <c r="B65" t="s">
        <v>570</v>
      </c>
      <c r="C65" s="2">
        <v>45701.553518518522</v>
      </c>
      <c r="D65" s="1">
        <v>45702.553518518522</v>
      </c>
      <c r="E65" s="1">
        <v>45709.553518518522</v>
      </c>
      <c r="F65">
        <f>HotelSales[[#This Row],[Check_Out]]-HotelSales[[#This Row],[Check_In]]</f>
        <v>7</v>
      </c>
      <c r="G65" t="s">
        <v>775</v>
      </c>
      <c r="H65" t="s">
        <v>778</v>
      </c>
      <c r="I65" t="s">
        <v>780</v>
      </c>
      <c r="J65">
        <v>3</v>
      </c>
      <c r="K65">
        <v>12000</v>
      </c>
      <c r="L65">
        <f>HotelSales[[#This Row],[Stay_Nights]]*HotelSales[[#This Row],[Room_Rate]]</f>
        <v>84000</v>
      </c>
      <c r="M65">
        <v>13500</v>
      </c>
      <c r="N65">
        <f>HotelSales[[#This Row],[Room_Revenue]]+HotelSales[[#This Row],[Restaurant_Spend]]</f>
        <v>97500</v>
      </c>
      <c r="O65" t="s">
        <v>787</v>
      </c>
    </row>
    <row r="66" spans="1:15">
      <c r="A66" t="s">
        <v>76</v>
      </c>
      <c r="B66" t="s">
        <v>571</v>
      </c>
      <c r="C66" s="2">
        <v>45701.66679398148</v>
      </c>
      <c r="D66" s="1">
        <v>45711.66679398148</v>
      </c>
      <c r="E66" s="1">
        <v>45717.66679398148</v>
      </c>
      <c r="F66">
        <f>HotelSales[[#This Row],[Check_Out]]-HotelSales[[#This Row],[Check_In]]</f>
        <v>6</v>
      </c>
      <c r="G66" t="s">
        <v>774</v>
      </c>
      <c r="H66" t="s">
        <v>778</v>
      </c>
      <c r="I66" t="s">
        <v>780</v>
      </c>
      <c r="J66">
        <v>2</v>
      </c>
      <c r="K66">
        <v>29000</v>
      </c>
      <c r="L66">
        <f>HotelSales[[#This Row],[Stay_Nights]]*HotelSales[[#This Row],[Room_Rate]]</f>
        <v>174000</v>
      </c>
      <c r="M66">
        <v>8000</v>
      </c>
      <c r="N66">
        <f>HotelSales[[#This Row],[Room_Revenue]]+HotelSales[[#This Row],[Restaurant_Spend]]</f>
        <v>182000</v>
      </c>
      <c r="O66" t="s">
        <v>784</v>
      </c>
    </row>
    <row r="67" spans="1:15">
      <c r="A67" t="s">
        <v>77</v>
      </c>
      <c r="B67" t="s">
        <v>572</v>
      </c>
      <c r="C67" s="2">
        <v>45701.84652777778</v>
      </c>
      <c r="D67" s="1">
        <v>45725.84652777778</v>
      </c>
      <c r="E67" s="1">
        <v>45727.84652777778</v>
      </c>
      <c r="F67">
        <f>HotelSales[[#This Row],[Check_Out]]-HotelSales[[#This Row],[Check_In]]</f>
        <v>2</v>
      </c>
      <c r="G67" t="s">
        <v>776</v>
      </c>
      <c r="H67" t="s">
        <v>777</v>
      </c>
      <c r="I67" t="s">
        <v>780</v>
      </c>
      <c r="J67">
        <v>4</v>
      </c>
      <c r="K67">
        <v>19000</v>
      </c>
      <c r="L67">
        <f>HotelSales[[#This Row],[Stay_Nights]]*HotelSales[[#This Row],[Room_Rate]]</f>
        <v>38000</v>
      </c>
      <c r="M67">
        <v>5000</v>
      </c>
      <c r="N67">
        <f>HotelSales[[#This Row],[Room_Revenue]]+HotelSales[[#This Row],[Restaurant_Spend]]</f>
        <v>43000</v>
      </c>
      <c r="O67" t="s">
        <v>783</v>
      </c>
    </row>
    <row r="68" spans="1:15">
      <c r="A68" t="s">
        <v>78</v>
      </c>
      <c r="B68" t="s">
        <v>573</v>
      </c>
      <c r="C68" s="2">
        <v>45703.288680555554</v>
      </c>
      <c r="D68" s="1">
        <v>45732.288680555554</v>
      </c>
      <c r="E68" s="1">
        <v>45733.288680555554</v>
      </c>
      <c r="F68">
        <f>HotelSales[[#This Row],[Check_Out]]-HotelSales[[#This Row],[Check_In]]</f>
        <v>1</v>
      </c>
      <c r="G68" t="s">
        <v>775</v>
      </c>
      <c r="H68" t="s">
        <v>778</v>
      </c>
      <c r="I68" t="s">
        <v>781</v>
      </c>
      <c r="J68">
        <v>2</v>
      </c>
      <c r="K68">
        <v>12000</v>
      </c>
      <c r="L68">
        <f>HotelSales[[#This Row],[Stay_Nights]]*HotelSales[[#This Row],[Room_Rate]]</f>
        <v>12000</v>
      </c>
      <c r="M68">
        <v>9500</v>
      </c>
      <c r="N68">
        <f>HotelSales[[#This Row],[Room_Revenue]]+HotelSales[[#This Row],[Restaurant_Spend]]</f>
        <v>21500</v>
      </c>
      <c r="O68" t="s">
        <v>782</v>
      </c>
    </row>
    <row r="69" spans="1:15">
      <c r="A69" t="s">
        <v>79</v>
      </c>
      <c r="B69" t="s">
        <v>574</v>
      </c>
      <c r="C69" s="2">
        <v>45704.033171296287</v>
      </c>
      <c r="D69" s="1">
        <v>45723.033171296287</v>
      </c>
      <c r="E69" s="1">
        <v>45728.033171296287</v>
      </c>
      <c r="F69">
        <f>HotelSales[[#This Row],[Check_Out]]-HotelSales[[#This Row],[Check_In]]</f>
        <v>5</v>
      </c>
      <c r="G69" t="s">
        <v>776</v>
      </c>
      <c r="H69" t="s">
        <v>778</v>
      </c>
      <c r="I69" t="s">
        <v>780</v>
      </c>
      <c r="J69">
        <v>1</v>
      </c>
      <c r="K69">
        <v>19000</v>
      </c>
      <c r="L69">
        <f>HotelSales[[#This Row],[Stay_Nights]]*HotelSales[[#This Row],[Room_Rate]]</f>
        <v>95000</v>
      </c>
      <c r="M69">
        <v>2000</v>
      </c>
      <c r="N69">
        <f>HotelSales[[#This Row],[Room_Revenue]]+HotelSales[[#This Row],[Restaurant_Spend]]</f>
        <v>97000</v>
      </c>
      <c r="O69" t="s">
        <v>783</v>
      </c>
    </row>
    <row r="70" spans="1:15">
      <c r="A70" t="s">
        <v>80</v>
      </c>
      <c r="B70" t="s">
        <v>575</v>
      </c>
      <c r="C70" s="2">
        <v>45704.764803240738</v>
      </c>
      <c r="D70" s="1">
        <v>45732.764803240738</v>
      </c>
      <c r="E70" s="1">
        <v>45733.764803240738</v>
      </c>
      <c r="F70">
        <f>HotelSales[[#This Row],[Check_Out]]-HotelSales[[#This Row],[Check_In]]</f>
        <v>1</v>
      </c>
      <c r="G70" t="s">
        <v>776</v>
      </c>
      <c r="H70" t="s">
        <v>778</v>
      </c>
      <c r="I70" t="s">
        <v>780</v>
      </c>
      <c r="J70">
        <v>2</v>
      </c>
      <c r="K70">
        <v>19000</v>
      </c>
      <c r="L70">
        <f>HotelSales[[#This Row],[Stay_Nights]]*HotelSales[[#This Row],[Room_Rate]]</f>
        <v>19000</v>
      </c>
      <c r="M70">
        <v>1500</v>
      </c>
      <c r="N70">
        <f>HotelSales[[#This Row],[Room_Revenue]]+HotelSales[[#This Row],[Restaurant_Spend]]</f>
        <v>20500</v>
      </c>
      <c r="O70" t="s">
        <v>787</v>
      </c>
    </row>
    <row r="71" spans="1:15">
      <c r="A71" t="s">
        <v>81</v>
      </c>
      <c r="B71" t="s">
        <v>576</v>
      </c>
      <c r="C71" s="2">
        <v>45705.461493055547</v>
      </c>
      <c r="D71" s="1">
        <v>45708.461493055547</v>
      </c>
      <c r="E71" s="1">
        <v>45713.461493055547</v>
      </c>
      <c r="F71">
        <f>HotelSales[[#This Row],[Check_Out]]-HotelSales[[#This Row],[Check_In]]</f>
        <v>5</v>
      </c>
      <c r="G71" t="s">
        <v>775</v>
      </c>
      <c r="H71" t="s">
        <v>778</v>
      </c>
      <c r="I71" t="s">
        <v>781</v>
      </c>
      <c r="J71">
        <v>3</v>
      </c>
      <c r="K71">
        <v>13000</v>
      </c>
      <c r="L71">
        <f>HotelSales[[#This Row],[Stay_Nights]]*HotelSales[[#This Row],[Room_Rate]]</f>
        <v>65000</v>
      </c>
      <c r="M71">
        <v>5000</v>
      </c>
      <c r="N71">
        <f>HotelSales[[#This Row],[Room_Revenue]]+HotelSales[[#This Row],[Restaurant_Spend]]</f>
        <v>70000</v>
      </c>
      <c r="O71" t="s">
        <v>784</v>
      </c>
    </row>
    <row r="72" spans="1:15">
      <c r="A72" t="s">
        <v>82</v>
      </c>
      <c r="B72" t="s">
        <v>577</v>
      </c>
      <c r="C72" s="2">
        <v>45706.223379629628</v>
      </c>
      <c r="D72" s="1">
        <v>45710.223379629628</v>
      </c>
      <c r="E72" s="1">
        <v>45711.223379629628</v>
      </c>
      <c r="F72">
        <f>HotelSales[[#This Row],[Check_Out]]-HotelSales[[#This Row],[Check_In]]</f>
        <v>1</v>
      </c>
      <c r="G72" t="s">
        <v>776</v>
      </c>
      <c r="H72" t="s">
        <v>777</v>
      </c>
      <c r="I72" t="s">
        <v>780</v>
      </c>
      <c r="J72">
        <v>1</v>
      </c>
      <c r="K72">
        <v>18000</v>
      </c>
      <c r="L72">
        <f>HotelSales[[#This Row],[Stay_Nights]]*HotelSales[[#This Row],[Room_Rate]]</f>
        <v>18000</v>
      </c>
      <c r="M72">
        <v>6000</v>
      </c>
      <c r="N72">
        <f>HotelSales[[#This Row],[Room_Revenue]]+HotelSales[[#This Row],[Restaurant_Spend]]</f>
        <v>24000</v>
      </c>
      <c r="O72" t="s">
        <v>783</v>
      </c>
    </row>
    <row r="73" spans="1:15">
      <c r="A73" t="s">
        <v>83</v>
      </c>
      <c r="B73" t="s">
        <v>578</v>
      </c>
      <c r="C73" s="2">
        <v>45706.582997685182</v>
      </c>
      <c r="D73" s="1">
        <v>45724.582997685182</v>
      </c>
      <c r="E73" s="1">
        <v>45727.582997685182</v>
      </c>
      <c r="F73">
        <f>HotelSales[[#This Row],[Check_Out]]-HotelSales[[#This Row],[Check_In]]</f>
        <v>3</v>
      </c>
      <c r="G73" t="s">
        <v>775</v>
      </c>
      <c r="H73" t="s">
        <v>777</v>
      </c>
      <c r="I73" t="s">
        <v>780</v>
      </c>
      <c r="J73">
        <v>2</v>
      </c>
      <c r="K73">
        <v>12000</v>
      </c>
      <c r="L73">
        <f>HotelSales[[#This Row],[Stay_Nights]]*HotelSales[[#This Row],[Room_Rate]]</f>
        <v>36000</v>
      </c>
      <c r="M73">
        <v>8500</v>
      </c>
      <c r="N73">
        <f>HotelSales[[#This Row],[Room_Revenue]]+HotelSales[[#This Row],[Restaurant_Spend]]</f>
        <v>44500</v>
      </c>
      <c r="O73" t="s">
        <v>784</v>
      </c>
    </row>
    <row r="74" spans="1:15">
      <c r="A74" t="s">
        <v>84</v>
      </c>
      <c r="B74" t="s">
        <v>579</v>
      </c>
      <c r="C74" s="2">
        <v>45708.298148148147</v>
      </c>
      <c r="D74" s="1">
        <v>45719.298148148147</v>
      </c>
      <c r="E74" s="1">
        <v>45724.298148148147</v>
      </c>
      <c r="F74">
        <f>HotelSales[[#This Row],[Check_Out]]-HotelSales[[#This Row],[Check_In]]</f>
        <v>5</v>
      </c>
      <c r="G74" t="s">
        <v>776</v>
      </c>
      <c r="H74" t="s">
        <v>778</v>
      </c>
      <c r="I74" t="s">
        <v>779</v>
      </c>
      <c r="J74">
        <v>1</v>
      </c>
      <c r="K74">
        <v>17000</v>
      </c>
      <c r="L74">
        <f>HotelSales[[#This Row],[Stay_Nights]]*HotelSales[[#This Row],[Room_Rate]]</f>
        <v>85000</v>
      </c>
      <c r="M74">
        <v>5000</v>
      </c>
      <c r="N74">
        <f>HotelSales[[#This Row],[Room_Revenue]]+HotelSales[[#This Row],[Restaurant_Spend]]</f>
        <v>90000</v>
      </c>
      <c r="O74" t="s">
        <v>783</v>
      </c>
    </row>
    <row r="75" spans="1:15">
      <c r="A75" t="s">
        <v>85</v>
      </c>
      <c r="B75" t="s">
        <v>555</v>
      </c>
      <c r="C75" s="2">
        <v>45709.02140046296</v>
      </c>
      <c r="D75" s="1">
        <v>45718.02140046296</v>
      </c>
      <c r="E75" s="1">
        <v>45720.02140046296</v>
      </c>
      <c r="F75">
        <f>HotelSales[[#This Row],[Check_Out]]-HotelSales[[#This Row],[Check_In]]</f>
        <v>2</v>
      </c>
      <c r="G75" t="s">
        <v>776</v>
      </c>
      <c r="H75" t="s">
        <v>778</v>
      </c>
      <c r="I75" t="s">
        <v>779</v>
      </c>
      <c r="J75">
        <v>2</v>
      </c>
      <c r="K75">
        <v>18000</v>
      </c>
      <c r="L75">
        <f>HotelSales[[#This Row],[Stay_Nights]]*HotelSales[[#This Row],[Room_Rate]]</f>
        <v>36000</v>
      </c>
      <c r="M75">
        <v>3000</v>
      </c>
      <c r="N75">
        <f>HotelSales[[#This Row],[Room_Revenue]]+HotelSales[[#This Row],[Restaurant_Spend]]</f>
        <v>39000</v>
      </c>
      <c r="O75" t="s">
        <v>784</v>
      </c>
    </row>
    <row r="76" spans="1:15">
      <c r="A76" t="s">
        <v>86</v>
      </c>
      <c r="B76" t="s">
        <v>541</v>
      </c>
      <c r="C76" s="2">
        <v>45709.229386574072</v>
      </c>
      <c r="D76" s="1">
        <v>45712.229386574072</v>
      </c>
      <c r="E76" s="1">
        <v>45718.229386574072</v>
      </c>
      <c r="F76">
        <f>HotelSales[[#This Row],[Check_Out]]-HotelSales[[#This Row],[Check_In]]</f>
        <v>6</v>
      </c>
      <c r="G76" t="s">
        <v>775</v>
      </c>
      <c r="H76" t="s">
        <v>778</v>
      </c>
      <c r="I76" t="s">
        <v>779</v>
      </c>
      <c r="J76">
        <v>4</v>
      </c>
      <c r="K76">
        <v>11000</v>
      </c>
      <c r="L76">
        <f>HotelSales[[#This Row],[Stay_Nights]]*HotelSales[[#This Row],[Room_Rate]]</f>
        <v>66000</v>
      </c>
      <c r="M76">
        <v>5000</v>
      </c>
      <c r="N76">
        <f>HotelSales[[#This Row],[Room_Revenue]]+HotelSales[[#This Row],[Restaurant_Spend]]</f>
        <v>71000</v>
      </c>
      <c r="O76" t="s">
        <v>784</v>
      </c>
    </row>
    <row r="77" spans="1:15">
      <c r="A77" t="s">
        <v>87</v>
      </c>
      <c r="B77" t="s">
        <v>580</v>
      </c>
      <c r="C77" s="2">
        <v>45709.659930555557</v>
      </c>
      <c r="D77" s="1">
        <v>45724.659930555557</v>
      </c>
      <c r="E77" s="1">
        <v>45731.659930555557</v>
      </c>
      <c r="F77">
        <f>HotelSales[[#This Row],[Check_Out]]-HotelSales[[#This Row],[Check_In]]</f>
        <v>7</v>
      </c>
      <c r="G77" t="s">
        <v>775</v>
      </c>
      <c r="H77" t="s">
        <v>778</v>
      </c>
      <c r="I77" t="s">
        <v>779</v>
      </c>
      <c r="J77">
        <v>2</v>
      </c>
      <c r="K77">
        <v>12000</v>
      </c>
      <c r="L77">
        <f>HotelSales[[#This Row],[Stay_Nights]]*HotelSales[[#This Row],[Room_Rate]]</f>
        <v>84000</v>
      </c>
      <c r="M77">
        <v>2500</v>
      </c>
      <c r="N77">
        <f>HotelSales[[#This Row],[Room_Revenue]]+HotelSales[[#This Row],[Restaurant_Spend]]</f>
        <v>86500</v>
      </c>
      <c r="O77" t="s">
        <v>785</v>
      </c>
    </row>
    <row r="78" spans="1:15">
      <c r="A78" t="s">
        <v>88</v>
      </c>
      <c r="B78" t="s">
        <v>581</v>
      </c>
      <c r="C78" s="2">
        <v>45709.679976851847</v>
      </c>
      <c r="D78" s="1">
        <v>45724.679976851847</v>
      </c>
      <c r="E78" s="1">
        <v>45731.679976851847</v>
      </c>
      <c r="F78">
        <f>HotelSales[[#This Row],[Check_Out]]-HotelSales[[#This Row],[Check_In]]</f>
        <v>7</v>
      </c>
      <c r="G78" t="s">
        <v>775</v>
      </c>
      <c r="H78" t="s">
        <v>778</v>
      </c>
      <c r="I78" t="s">
        <v>781</v>
      </c>
      <c r="J78">
        <v>2</v>
      </c>
      <c r="K78">
        <v>13000</v>
      </c>
      <c r="L78">
        <f>HotelSales[[#This Row],[Stay_Nights]]*HotelSales[[#This Row],[Room_Rate]]</f>
        <v>91000</v>
      </c>
      <c r="M78">
        <v>10000</v>
      </c>
      <c r="N78">
        <f>HotelSales[[#This Row],[Room_Revenue]]+HotelSales[[#This Row],[Restaurant_Spend]]</f>
        <v>101000</v>
      </c>
      <c r="O78" t="s">
        <v>786</v>
      </c>
    </row>
    <row r="79" spans="1:15">
      <c r="A79" t="s">
        <v>89</v>
      </c>
      <c r="B79" t="s">
        <v>582</v>
      </c>
      <c r="C79" s="2">
        <v>45710.988865740743</v>
      </c>
      <c r="D79" s="1">
        <v>45732.988865740743</v>
      </c>
      <c r="E79" s="1">
        <v>45733.988865740743</v>
      </c>
      <c r="F79">
        <f>HotelSales[[#This Row],[Check_Out]]-HotelSales[[#This Row],[Check_In]]</f>
        <v>1</v>
      </c>
      <c r="G79" t="s">
        <v>776</v>
      </c>
      <c r="H79" t="s">
        <v>778</v>
      </c>
      <c r="I79" t="s">
        <v>781</v>
      </c>
      <c r="J79">
        <v>3</v>
      </c>
      <c r="K79">
        <v>18000</v>
      </c>
      <c r="L79">
        <f>HotelSales[[#This Row],[Stay_Nights]]*HotelSales[[#This Row],[Room_Rate]]</f>
        <v>18000</v>
      </c>
      <c r="M79">
        <v>5000</v>
      </c>
      <c r="N79">
        <f>HotelSales[[#This Row],[Room_Revenue]]+HotelSales[[#This Row],[Restaurant_Spend]]</f>
        <v>23000</v>
      </c>
      <c r="O79" t="s">
        <v>784</v>
      </c>
    </row>
    <row r="80" spans="1:15">
      <c r="A80" t="s">
        <v>90</v>
      </c>
      <c r="B80" t="s">
        <v>583</v>
      </c>
      <c r="C80" s="2">
        <v>45711.010196759264</v>
      </c>
      <c r="D80" s="1">
        <v>45718.010196759264</v>
      </c>
      <c r="E80" s="1">
        <v>45725.010196759264</v>
      </c>
      <c r="F80">
        <f>HotelSales[[#This Row],[Check_Out]]-HotelSales[[#This Row],[Check_In]]</f>
        <v>7</v>
      </c>
      <c r="G80" t="s">
        <v>774</v>
      </c>
      <c r="H80" t="s">
        <v>778</v>
      </c>
      <c r="I80" t="s">
        <v>781</v>
      </c>
      <c r="J80">
        <v>2</v>
      </c>
      <c r="K80">
        <v>29000</v>
      </c>
      <c r="L80">
        <f>HotelSales[[#This Row],[Stay_Nights]]*HotelSales[[#This Row],[Room_Rate]]</f>
        <v>203000</v>
      </c>
      <c r="M80">
        <v>7000</v>
      </c>
      <c r="N80">
        <f>HotelSales[[#This Row],[Room_Revenue]]+HotelSales[[#This Row],[Restaurant_Spend]]</f>
        <v>210000</v>
      </c>
      <c r="O80" t="s">
        <v>784</v>
      </c>
    </row>
    <row r="81" spans="1:15">
      <c r="A81" t="s">
        <v>91</v>
      </c>
      <c r="B81" t="s">
        <v>584</v>
      </c>
      <c r="C81" s="2">
        <v>45711.054363425923</v>
      </c>
      <c r="D81" s="1">
        <v>45731.054363425923</v>
      </c>
      <c r="E81" s="1">
        <v>45732.054363425923</v>
      </c>
      <c r="F81">
        <f>HotelSales[[#This Row],[Check_Out]]-HotelSales[[#This Row],[Check_In]]</f>
        <v>1</v>
      </c>
      <c r="G81" t="s">
        <v>775</v>
      </c>
      <c r="H81" t="s">
        <v>778</v>
      </c>
      <c r="I81" t="s">
        <v>781</v>
      </c>
      <c r="J81">
        <v>1</v>
      </c>
      <c r="K81">
        <v>12000</v>
      </c>
      <c r="L81">
        <f>HotelSales[[#This Row],[Stay_Nights]]*HotelSales[[#This Row],[Room_Rate]]</f>
        <v>12000</v>
      </c>
      <c r="M81">
        <v>11500</v>
      </c>
      <c r="N81">
        <f>HotelSales[[#This Row],[Room_Revenue]]+HotelSales[[#This Row],[Restaurant_Spend]]</f>
        <v>23500</v>
      </c>
      <c r="O81" t="s">
        <v>784</v>
      </c>
    </row>
    <row r="82" spans="1:15">
      <c r="A82" t="s">
        <v>92</v>
      </c>
      <c r="B82" t="s">
        <v>585</v>
      </c>
      <c r="C82" s="2">
        <v>45711.181446759263</v>
      </c>
      <c r="D82" s="1">
        <v>45741.181446759263</v>
      </c>
      <c r="E82" s="1">
        <v>45744.181446759263</v>
      </c>
      <c r="F82">
        <f>HotelSales[[#This Row],[Check_Out]]-HotelSales[[#This Row],[Check_In]]</f>
        <v>3</v>
      </c>
      <c r="G82" t="s">
        <v>774</v>
      </c>
      <c r="H82" t="s">
        <v>778</v>
      </c>
      <c r="I82" t="s">
        <v>779</v>
      </c>
      <c r="J82">
        <v>1</v>
      </c>
      <c r="K82">
        <v>31000</v>
      </c>
      <c r="L82">
        <f>HotelSales[[#This Row],[Stay_Nights]]*HotelSales[[#This Row],[Room_Rate]]</f>
        <v>93000</v>
      </c>
      <c r="M82">
        <v>5000</v>
      </c>
      <c r="N82">
        <f>HotelSales[[#This Row],[Room_Revenue]]+HotelSales[[#This Row],[Restaurant_Spend]]</f>
        <v>98000</v>
      </c>
      <c r="O82" t="s">
        <v>783</v>
      </c>
    </row>
    <row r="83" spans="1:15">
      <c r="A83" t="s">
        <v>93</v>
      </c>
      <c r="B83" t="s">
        <v>561</v>
      </c>
      <c r="C83" s="2">
        <v>45711.908483796287</v>
      </c>
      <c r="D83" s="1">
        <v>45736.908483796287</v>
      </c>
      <c r="E83" s="1">
        <v>45743.908483796287</v>
      </c>
      <c r="F83">
        <f>HotelSales[[#This Row],[Check_Out]]-HotelSales[[#This Row],[Check_In]]</f>
        <v>7</v>
      </c>
      <c r="G83" t="s">
        <v>776</v>
      </c>
      <c r="H83" t="s">
        <v>778</v>
      </c>
      <c r="I83" t="s">
        <v>781</v>
      </c>
      <c r="J83">
        <v>2</v>
      </c>
      <c r="K83">
        <v>17000</v>
      </c>
      <c r="L83">
        <f>HotelSales[[#This Row],[Stay_Nights]]*HotelSales[[#This Row],[Room_Rate]]</f>
        <v>119000</v>
      </c>
      <c r="M83">
        <v>10500</v>
      </c>
      <c r="N83">
        <f>HotelSales[[#This Row],[Room_Revenue]]+HotelSales[[#This Row],[Restaurant_Spend]]</f>
        <v>129500</v>
      </c>
      <c r="O83" t="s">
        <v>782</v>
      </c>
    </row>
    <row r="84" spans="1:15">
      <c r="A84" t="s">
        <v>94</v>
      </c>
      <c r="B84" t="s">
        <v>586</v>
      </c>
      <c r="C84" s="2">
        <v>45712.526331018518</v>
      </c>
      <c r="D84" s="1">
        <v>45736.526331018518</v>
      </c>
      <c r="E84" s="1">
        <v>45740.526331018518</v>
      </c>
      <c r="F84">
        <f>HotelSales[[#This Row],[Check_Out]]-HotelSales[[#This Row],[Check_In]]</f>
        <v>4</v>
      </c>
      <c r="G84" t="s">
        <v>776</v>
      </c>
      <c r="H84" t="s">
        <v>777</v>
      </c>
      <c r="I84" t="s">
        <v>779</v>
      </c>
      <c r="J84">
        <v>2</v>
      </c>
      <c r="K84">
        <v>18000</v>
      </c>
      <c r="L84">
        <f>HotelSales[[#This Row],[Stay_Nights]]*HotelSales[[#This Row],[Room_Rate]]</f>
        <v>72000</v>
      </c>
      <c r="M84">
        <v>8000</v>
      </c>
      <c r="N84">
        <f>HotelSales[[#This Row],[Room_Revenue]]+HotelSales[[#This Row],[Restaurant_Spend]]</f>
        <v>80000</v>
      </c>
      <c r="O84" t="s">
        <v>783</v>
      </c>
    </row>
    <row r="85" spans="1:15">
      <c r="A85" t="s">
        <v>95</v>
      </c>
      <c r="B85" t="s">
        <v>587</v>
      </c>
      <c r="C85" s="2">
        <v>45713.357442129629</v>
      </c>
      <c r="D85" s="1">
        <v>45731.357442129629</v>
      </c>
      <c r="E85" s="1">
        <v>45734.357442129629</v>
      </c>
      <c r="F85">
        <f>HotelSales[[#This Row],[Check_Out]]-HotelSales[[#This Row],[Check_In]]</f>
        <v>3</v>
      </c>
      <c r="G85" t="s">
        <v>776</v>
      </c>
      <c r="H85" t="s">
        <v>778</v>
      </c>
      <c r="I85" t="s">
        <v>779</v>
      </c>
      <c r="J85">
        <v>1</v>
      </c>
      <c r="K85">
        <v>19000</v>
      </c>
      <c r="L85">
        <f>HotelSales[[#This Row],[Stay_Nights]]*HotelSales[[#This Row],[Room_Rate]]</f>
        <v>57000</v>
      </c>
      <c r="M85">
        <v>9500</v>
      </c>
      <c r="N85">
        <f>HotelSales[[#This Row],[Room_Revenue]]+HotelSales[[#This Row],[Restaurant_Spend]]</f>
        <v>66500</v>
      </c>
      <c r="O85" t="s">
        <v>786</v>
      </c>
    </row>
    <row r="86" spans="1:15">
      <c r="A86" t="s">
        <v>96</v>
      </c>
      <c r="B86" t="s">
        <v>584</v>
      </c>
      <c r="C86" s="2">
        <v>45713.93954861111</v>
      </c>
      <c r="D86" s="1">
        <v>45716.93954861111</v>
      </c>
      <c r="E86" s="1">
        <v>45720.93954861111</v>
      </c>
      <c r="F86">
        <f>HotelSales[[#This Row],[Check_Out]]-HotelSales[[#This Row],[Check_In]]</f>
        <v>4</v>
      </c>
      <c r="G86" t="s">
        <v>775</v>
      </c>
      <c r="H86" t="s">
        <v>777</v>
      </c>
      <c r="I86" t="s">
        <v>780</v>
      </c>
      <c r="J86">
        <v>3</v>
      </c>
      <c r="K86">
        <v>13000</v>
      </c>
      <c r="L86">
        <f>HotelSales[[#This Row],[Stay_Nights]]*HotelSales[[#This Row],[Room_Rate]]</f>
        <v>52000</v>
      </c>
      <c r="M86">
        <v>5500</v>
      </c>
      <c r="N86">
        <f>HotelSales[[#This Row],[Room_Revenue]]+HotelSales[[#This Row],[Restaurant_Spend]]</f>
        <v>57500</v>
      </c>
      <c r="O86" t="s">
        <v>785</v>
      </c>
    </row>
    <row r="87" spans="1:15">
      <c r="A87" t="s">
        <v>97</v>
      </c>
      <c r="B87" t="s">
        <v>588</v>
      </c>
      <c r="C87" s="2">
        <v>45714.114432870367</v>
      </c>
      <c r="D87" s="1">
        <v>45740.114432870367</v>
      </c>
      <c r="E87" s="1">
        <v>45746.114432870367</v>
      </c>
      <c r="F87">
        <f>HotelSales[[#This Row],[Check_Out]]-HotelSales[[#This Row],[Check_In]]</f>
        <v>6</v>
      </c>
      <c r="G87" t="s">
        <v>776</v>
      </c>
      <c r="H87" t="s">
        <v>778</v>
      </c>
      <c r="I87" t="s">
        <v>779</v>
      </c>
      <c r="J87">
        <v>4</v>
      </c>
      <c r="K87">
        <v>18000</v>
      </c>
      <c r="L87">
        <f>HotelSales[[#This Row],[Stay_Nights]]*HotelSales[[#This Row],[Room_Rate]]</f>
        <v>108000</v>
      </c>
      <c r="M87">
        <v>2500</v>
      </c>
      <c r="N87">
        <f>HotelSales[[#This Row],[Room_Revenue]]+HotelSales[[#This Row],[Restaurant_Spend]]</f>
        <v>110500</v>
      </c>
      <c r="O87" t="s">
        <v>787</v>
      </c>
    </row>
    <row r="88" spans="1:15">
      <c r="A88" t="s">
        <v>98</v>
      </c>
      <c r="B88" t="s">
        <v>589</v>
      </c>
      <c r="C88" s="2">
        <v>45715.285868055558</v>
      </c>
      <c r="D88" s="1">
        <v>45740.285868055558</v>
      </c>
      <c r="E88" s="1">
        <v>45745.285868055558</v>
      </c>
      <c r="F88">
        <f>HotelSales[[#This Row],[Check_Out]]-HotelSales[[#This Row],[Check_In]]</f>
        <v>5</v>
      </c>
      <c r="G88" t="s">
        <v>775</v>
      </c>
      <c r="H88" t="s">
        <v>777</v>
      </c>
      <c r="I88" t="s">
        <v>780</v>
      </c>
      <c r="J88">
        <v>1</v>
      </c>
      <c r="K88">
        <v>13000</v>
      </c>
      <c r="L88">
        <f>HotelSales[[#This Row],[Stay_Nights]]*HotelSales[[#This Row],[Room_Rate]]</f>
        <v>65000</v>
      </c>
      <c r="M88">
        <v>5000</v>
      </c>
      <c r="N88">
        <f>HotelSales[[#This Row],[Room_Revenue]]+HotelSales[[#This Row],[Restaurant_Spend]]</f>
        <v>70000</v>
      </c>
      <c r="O88" t="s">
        <v>782</v>
      </c>
    </row>
    <row r="89" spans="1:15">
      <c r="A89" t="s">
        <v>99</v>
      </c>
      <c r="B89" t="s">
        <v>590</v>
      </c>
      <c r="C89" s="2">
        <v>45715.690335648149</v>
      </c>
      <c r="D89" s="1">
        <v>45716.690335648149</v>
      </c>
      <c r="E89" s="1">
        <v>45722.690335648149</v>
      </c>
      <c r="F89">
        <f>HotelSales[[#This Row],[Check_Out]]-HotelSales[[#This Row],[Check_In]]</f>
        <v>6</v>
      </c>
      <c r="G89" t="s">
        <v>775</v>
      </c>
      <c r="H89" t="s">
        <v>778</v>
      </c>
      <c r="I89" t="s">
        <v>779</v>
      </c>
      <c r="J89">
        <v>4</v>
      </c>
      <c r="K89">
        <v>12000</v>
      </c>
      <c r="L89">
        <f>HotelSales[[#This Row],[Stay_Nights]]*HotelSales[[#This Row],[Room_Rate]]</f>
        <v>72000</v>
      </c>
      <c r="M89">
        <v>9500</v>
      </c>
      <c r="N89">
        <f>HotelSales[[#This Row],[Room_Revenue]]+HotelSales[[#This Row],[Restaurant_Spend]]</f>
        <v>81500</v>
      </c>
      <c r="O89" t="s">
        <v>787</v>
      </c>
    </row>
    <row r="90" spans="1:15">
      <c r="A90" t="s">
        <v>100</v>
      </c>
      <c r="B90" t="s">
        <v>591</v>
      </c>
      <c r="C90" s="2">
        <v>45715.882465277777</v>
      </c>
      <c r="D90" s="1">
        <v>45722.882465277777</v>
      </c>
      <c r="E90" s="1">
        <v>45723.882465277777</v>
      </c>
      <c r="F90">
        <f>HotelSales[[#This Row],[Check_Out]]-HotelSales[[#This Row],[Check_In]]</f>
        <v>1</v>
      </c>
      <c r="G90" t="s">
        <v>776</v>
      </c>
      <c r="H90" t="s">
        <v>778</v>
      </c>
      <c r="I90" t="s">
        <v>780</v>
      </c>
      <c r="J90">
        <v>4</v>
      </c>
      <c r="K90">
        <v>18000</v>
      </c>
      <c r="L90">
        <f>HotelSales[[#This Row],[Stay_Nights]]*HotelSales[[#This Row],[Room_Rate]]</f>
        <v>18000</v>
      </c>
      <c r="M90">
        <v>6500</v>
      </c>
      <c r="N90">
        <f>HotelSales[[#This Row],[Room_Revenue]]+HotelSales[[#This Row],[Restaurant_Spend]]</f>
        <v>24500</v>
      </c>
      <c r="O90" t="s">
        <v>782</v>
      </c>
    </row>
    <row r="91" spans="1:15">
      <c r="A91" t="s">
        <v>101</v>
      </c>
      <c r="B91" t="s">
        <v>562</v>
      </c>
      <c r="C91" s="2">
        <v>45716.839918981481</v>
      </c>
      <c r="D91" s="1">
        <v>45721.839918981481</v>
      </c>
      <c r="E91" s="1">
        <v>45724.839918981481</v>
      </c>
      <c r="F91">
        <f>HotelSales[[#This Row],[Check_Out]]-HotelSales[[#This Row],[Check_In]]</f>
        <v>3</v>
      </c>
      <c r="G91" t="s">
        <v>776</v>
      </c>
      <c r="H91" t="s">
        <v>778</v>
      </c>
      <c r="I91" t="s">
        <v>780</v>
      </c>
      <c r="J91">
        <v>2</v>
      </c>
      <c r="K91">
        <v>18000</v>
      </c>
      <c r="L91">
        <f>HotelSales[[#This Row],[Stay_Nights]]*HotelSales[[#This Row],[Room_Rate]]</f>
        <v>54000</v>
      </c>
      <c r="M91">
        <v>7500</v>
      </c>
      <c r="N91">
        <f>HotelSales[[#This Row],[Room_Revenue]]+HotelSales[[#This Row],[Restaurant_Spend]]</f>
        <v>61500</v>
      </c>
      <c r="O91" t="s">
        <v>783</v>
      </c>
    </row>
    <row r="92" spans="1:15">
      <c r="A92" t="s">
        <v>102</v>
      </c>
      <c r="B92" t="s">
        <v>592</v>
      </c>
      <c r="C92" s="2">
        <v>45717.103738425933</v>
      </c>
      <c r="D92" s="1">
        <v>45733.103738425933</v>
      </c>
      <c r="E92" s="1">
        <v>45735.103738425933</v>
      </c>
      <c r="F92">
        <f>HotelSales[[#This Row],[Check_Out]]-HotelSales[[#This Row],[Check_In]]</f>
        <v>2</v>
      </c>
      <c r="G92" t="s">
        <v>775</v>
      </c>
      <c r="H92" t="s">
        <v>778</v>
      </c>
      <c r="I92" t="s">
        <v>781</v>
      </c>
      <c r="J92">
        <v>1</v>
      </c>
      <c r="K92">
        <v>11000</v>
      </c>
      <c r="L92">
        <f>HotelSales[[#This Row],[Stay_Nights]]*HotelSales[[#This Row],[Room_Rate]]</f>
        <v>22000</v>
      </c>
      <c r="M92">
        <v>6500</v>
      </c>
      <c r="N92">
        <f>HotelSales[[#This Row],[Room_Revenue]]+HotelSales[[#This Row],[Restaurant_Spend]]</f>
        <v>28500</v>
      </c>
      <c r="O92" t="s">
        <v>786</v>
      </c>
    </row>
    <row r="93" spans="1:15">
      <c r="A93" t="s">
        <v>103</v>
      </c>
      <c r="B93" t="s">
        <v>568</v>
      </c>
      <c r="C93" s="2">
        <v>45717.246782407397</v>
      </c>
      <c r="D93" s="1">
        <v>45720.246782407397</v>
      </c>
      <c r="E93" s="1">
        <v>45723.246782407397</v>
      </c>
      <c r="F93">
        <f>HotelSales[[#This Row],[Check_Out]]-HotelSales[[#This Row],[Check_In]]</f>
        <v>3</v>
      </c>
      <c r="G93" t="s">
        <v>776</v>
      </c>
      <c r="H93" t="s">
        <v>778</v>
      </c>
      <c r="I93" t="s">
        <v>779</v>
      </c>
      <c r="J93">
        <v>2</v>
      </c>
      <c r="K93">
        <v>19000</v>
      </c>
      <c r="L93">
        <f>HotelSales[[#This Row],[Stay_Nights]]*HotelSales[[#This Row],[Room_Rate]]</f>
        <v>57000</v>
      </c>
      <c r="M93">
        <v>4000</v>
      </c>
      <c r="N93">
        <f>HotelSales[[#This Row],[Room_Revenue]]+HotelSales[[#This Row],[Restaurant_Spend]]</f>
        <v>61000</v>
      </c>
      <c r="O93" t="s">
        <v>786</v>
      </c>
    </row>
    <row r="94" spans="1:15">
      <c r="A94" t="s">
        <v>104</v>
      </c>
      <c r="B94" t="s">
        <v>593</v>
      </c>
      <c r="C94" s="2">
        <v>45717.787951388891</v>
      </c>
      <c r="D94" s="1">
        <v>45738.787951388891</v>
      </c>
      <c r="E94" s="1">
        <v>45739.787951388891</v>
      </c>
      <c r="F94">
        <f>HotelSales[[#This Row],[Check_Out]]-HotelSales[[#This Row],[Check_In]]</f>
        <v>1</v>
      </c>
      <c r="G94" t="s">
        <v>775</v>
      </c>
      <c r="H94" t="s">
        <v>778</v>
      </c>
      <c r="I94" t="s">
        <v>781</v>
      </c>
      <c r="J94">
        <v>2</v>
      </c>
      <c r="K94">
        <v>13000</v>
      </c>
      <c r="L94">
        <f>HotelSales[[#This Row],[Stay_Nights]]*HotelSales[[#This Row],[Room_Rate]]</f>
        <v>13000</v>
      </c>
      <c r="M94">
        <v>7500</v>
      </c>
      <c r="N94">
        <f>HotelSales[[#This Row],[Room_Revenue]]+HotelSales[[#This Row],[Restaurant_Spend]]</f>
        <v>20500</v>
      </c>
      <c r="O94" t="s">
        <v>785</v>
      </c>
    </row>
    <row r="95" spans="1:15">
      <c r="A95" t="s">
        <v>105</v>
      </c>
      <c r="B95" t="s">
        <v>594</v>
      </c>
      <c r="C95" s="2">
        <v>45718.615694444437</v>
      </c>
      <c r="D95" s="1">
        <v>45744.615694444437</v>
      </c>
      <c r="E95" s="1">
        <v>45748.615694444437</v>
      </c>
      <c r="F95">
        <f>HotelSales[[#This Row],[Check_Out]]-HotelSales[[#This Row],[Check_In]]</f>
        <v>4</v>
      </c>
      <c r="G95" t="s">
        <v>775</v>
      </c>
      <c r="H95" t="s">
        <v>777</v>
      </c>
      <c r="I95" t="s">
        <v>779</v>
      </c>
      <c r="J95">
        <v>2</v>
      </c>
      <c r="K95">
        <v>12000</v>
      </c>
      <c r="L95">
        <f>HotelSales[[#This Row],[Stay_Nights]]*HotelSales[[#This Row],[Room_Rate]]</f>
        <v>48000</v>
      </c>
      <c r="M95">
        <v>5500</v>
      </c>
      <c r="N95">
        <f>HotelSales[[#This Row],[Room_Revenue]]+HotelSales[[#This Row],[Restaurant_Spend]]</f>
        <v>53500</v>
      </c>
      <c r="O95" t="s">
        <v>782</v>
      </c>
    </row>
    <row r="96" spans="1:15">
      <c r="A96" t="s">
        <v>106</v>
      </c>
      <c r="B96" t="s">
        <v>595</v>
      </c>
      <c r="C96" s="2">
        <v>45719.394780092603</v>
      </c>
      <c r="D96" s="1">
        <v>45730.394780092603</v>
      </c>
      <c r="E96" s="1">
        <v>45734.394780092603</v>
      </c>
      <c r="F96">
        <f>HotelSales[[#This Row],[Check_Out]]-HotelSales[[#This Row],[Check_In]]</f>
        <v>4</v>
      </c>
      <c r="G96" t="s">
        <v>775</v>
      </c>
      <c r="H96" t="s">
        <v>778</v>
      </c>
      <c r="I96" t="s">
        <v>780</v>
      </c>
      <c r="J96">
        <v>2</v>
      </c>
      <c r="K96">
        <v>11000</v>
      </c>
      <c r="L96">
        <f>HotelSales[[#This Row],[Stay_Nights]]*HotelSales[[#This Row],[Room_Rate]]</f>
        <v>44000</v>
      </c>
      <c r="M96">
        <v>7500</v>
      </c>
      <c r="N96">
        <f>HotelSales[[#This Row],[Room_Revenue]]+HotelSales[[#This Row],[Restaurant_Spend]]</f>
        <v>51500</v>
      </c>
      <c r="O96" t="s">
        <v>785</v>
      </c>
    </row>
    <row r="97" spans="1:15">
      <c r="A97" t="s">
        <v>107</v>
      </c>
      <c r="B97" t="s">
        <v>596</v>
      </c>
      <c r="C97" s="2">
        <v>45719.720601851863</v>
      </c>
      <c r="D97" s="1">
        <v>45748.720601851863</v>
      </c>
      <c r="E97" s="1">
        <v>45750.720601851863</v>
      </c>
      <c r="F97">
        <f>HotelSales[[#This Row],[Check_Out]]-HotelSales[[#This Row],[Check_In]]</f>
        <v>2</v>
      </c>
      <c r="G97" t="s">
        <v>774</v>
      </c>
      <c r="H97" t="s">
        <v>777</v>
      </c>
      <c r="I97" t="s">
        <v>780</v>
      </c>
      <c r="J97">
        <v>2</v>
      </c>
      <c r="K97">
        <v>31000</v>
      </c>
      <c r="L97">
        <f>HotelSales[[#This Row],[Stay_Nights]]*HotelSales[[#This Row],[Room_Rate]]</f>
        <v>62000</v>
      </c>
      <c r="M97">
        <v>5000</v>
      </c>
      <c r="N97">
        <f>HotelSales[[#This Row],[Room_Revenue]]+HotelSales[[#This Row],[Restaurant_Spend]]</f>
        <v>67000</v>
      </c>
      <c r="O97" t="s">
        <v>787</v>
      </c>
    </row>
    <row r="98" spans="1:15">
      <c r="A98" t="s">
        <v>108</v>
      </c>
      <c r="B98" t="s">
        <v>597</v>
      </c>
      <c r="C98" s="2">
        <v>45720.614131944443</v>
      </c>
      <c r="D98" s="1">
        <v>45725.614131944443</v>
      </c>
      <c r="E98" s="1">
        <v>45730.614131944443</v>
      </c>
      <c r="F98">
        <f>HotelSales[[#This Row],[Check_Out]]-HotelSales[[#This Row],[Check_In]]</f>
        <v>5</v>
      </c>
      <c r="G98" t="s">
        <v>774</v>
      </c>
      <c r="H98" t="s">
        <v>778</v>
      </c>
      <c r="I98" t="s">
        <v>780</v>
      </c>
      <c r="J98">
        <v>2</v>
      </c>
      <c r="K98">
        <v>31000</v>
      </c>
      <c r="L98">
        <f>HotelSales[[#This Row],[Stay_Nights]]*HotelSales[[#This Row],[Room_Rate]]</f>
        <v>155000</v>
      </c>
      <c r="M98">
        <v>7000</v>
      </c>
      <c r="N98">
        <f>HotelSales[[#This Row],[Room_Revenue]]+HotelSales[[#This Row],[Restaurant_Spend]]</f>
        <v>162000</v>
      </c>
      <c r="O98" t="s">
        <v>783</v>
      </c>
    </row>
    <row r="99" spans="1:15">
      <c r="A99" t="s">
        <v>109</v>
      </c>
      <c r="B99" t="s">
        <v>598</v>
      </c>
      <c r="C99" s="2">
        <v>45721.145486111112</v>
      </c>
      <c r="D99" s="1">
        <v>45723.145486111112</v>
      </c>
      <c r="E99" s="1">
        <v>45724.145486111112</v>
      </c>
      <c r="F99">
        <f>HotelSales[[#This Row],[Check_Out]]-HotelSales[[#This Row],[Check_In]]</f>
        <v>1</v>
      </c>
      <c r="G99" t="s">
        <v>775</v>
      </c>
      <c r="H99" t="s">
        <v>778</v>
      </c>
      <c r="I99" t="s">
        <v>780</v>
      </c>
      <c r="J99">
        <v>3</v>
      </c>
      <c r="K99">
        <v>11000</v>
      </c>
      <c r="L99">
        <f>HotelSales[[#This Row],[Stay_Nights]]*HotelSales[[#This Row],[Room_Rate]]</f>
        <v>11000</v>
      </c>
      <c r="M99">
        <v>0</v>
      </c>
      <c r="N99">
        <f>HotelSales[[#This Row],[Room_Revenue]]+HotelSales[[#This Row],[Restaurant_Spend]]</f>
        <v>11000</v>
      </c>
      <c r="O99" t="s">
        <v>787</v>
      </c>
    </row>
    <row r="100" spans="1:15">
      <c r="A100" t="s">
        <v>110</v>
      </c>
      <c r="B100" t="s">
        <v>599</v>
      </c>
      <c r="C100" s="2">
        <v>45721.226967592593</v>
      </c>
      <c r="D100" s="1">
        <v>45726.226967592593</v>
      </c>
      <c r="E100" s="1">
        <v>45733.226967592593</v>
      </c>
      <c r="F100">
        <f>HotelSales[[#This Row],[Check_Out]]-HotelSales[[#This Row],[Check_In]]</f>
        <v>7</v>
      </c>
      <c r="G100" t="s">
        <v>774</v>
      </c>
      <c r="H100" t="s">
        <v>778</v>
      </c>
      <c r="I100" t="s">
        <v>779</v>
      </c>
      <c r="J100">
        <v>1</v>
      </c>
      <c r="K100">
        <v>30000</v>
      </c>
      <c r="L100">
        <f>HotelSales[[#This Row],[Stay_Nights]]*HotelSales[[#This Row],[Room_Rate]]</f>
        <v>210000</v>
      </c>
      <c r="M100">
        <v>8500</v>
      </c>
      <c r="N100">
        <f>HotelSales[[#This Row],[Room_Revenue]]+HotelSales[[#This Row],[Restaurant_Spend]]</f>
        <v>218500</v>
      </c>
      <c r="O100" t="s">
        <v>785</v>
      </c>
    </row>
    <row r="101" spans="1:15">
      <c r="A101" t="s">
        <v>111</v>
      </c>
      <c r="B101" t="s">
        <v>531</v>
      </c>
      <c r="C101" s="2">
        <v>45722.339768518519</v>
      </c>
      <c r="D101" s="1">
        <v>45747.339768518519</v>
      </c>
      <c r="E101" s="1">
        <v>45750.339768518519</v>
      </c>
      <c r="F101">
        <f>HotelSales[[#This Row],[Check_Out]]-HotelSales[[#This Row],[Check_In]]</f>
        <v>3</v>
      </c>
      <c r="G101" t="s">
        <v>776</v>
      </c>
      <c r="H101" t="s">
        <v>777</v>
      </c>
      <c r="I101" t="s">
        <v>781</v>
      </c>
      <c r="J101">
        <v>3</v>
      </c>
      <c r="K101">
        <v>17000</v>
      </c>
      <c r="L101">
        <f>HotelSales[[#This Row],[Stay_Nights]]*HotelSales[[#This Row],[Room_Rate]]</f>
        <v>51000</v>
      </c>
      <c r="M101">
        <v>9500</v>
      </c>
      <c r="N101">
        <f>HotelSales[[#This Row],[Room_Revenue]]+HotelSales[[#This Row],[Restaurant_Spend]]</f>
        <v>60500</v>
      </c>
      <c r="O101" t="s">
        <v>783</v>
      </c>
    </row>
    <row r="102" spans="1:15">
      <c r="A102" t="s">
        <v>112</v>
      </c>
      <c r="B102" t="s">
        <v>600</v>
      </c>
      <c r="C102" s="2">
        <v>45722.375775462962</v>
      </c>
      <c r="D102" s="1">
        <v>45744.375775462962</v>
      </c>
      <c r="E102" s="1">
        <v>45748.375775462962</v>
      </c>
      <c r="F102">
        <f>HotelSales[[#This Row],[Check_Out]]-HotelSales[[#This Row],[Check_In]]</f>
        <v>4</v>
      </c>
      <c r="G102" t="s">
        <v>775</v>
      </c>
      <c r="H102" t="s">
        <v>778</v>
      </c>
      <c r="I102" t="s">
        <v>781</v>
      </c>
      <c r="J102">
        <v>3</v>
      </c>
      <c r="K102">
        <v>11000</v>
      </c>
      <c r="L102">
        <f>HotelSales[[#This Row],[Stay_Nights]]*HotelSales[[#This Row],[Room_Rate]]</f>
        <v>44000</v>
      </c>
      <c r="M102">
        <v>8000</v>
      </c>
      <c r="N102">
        <f>HotelSales[[#This Row],[Room_Revenue]]+HotelSales[[#This Row],[Restaurant_Spend]]</f>
        <v>52000</v>
      </c>
      <c r="O102" t="s">
        <v>782</v>
      </c>
    </row>
    <row r="103" spans="1:15">
      <c r="A103" t="s">
        <v>113</v>
      </c>
      <c r="B103" t="s">
        <v>601</v>
      </c>
      <c r="C103" s="2">
        <v>45723.495324074072</v>
      </c>
      <c r="D103" s="1">
        <v>45748.495324074072</v>
      </c>
      <c r="E103" s="1">
        <v>45749.495324074072</v>
      </c>
      <c r="F103">
        <f>HotelSales[[#This Row],[Check_Out]]-HotelSales[[#This Row],[Check_In]]</f>
        <v>1</v>
      </c>
      <c r="G103" t="s">
        <v>774</v>
      </c>
      <c r="H103" t="s">
        <v>778</v>
      </c>
      <c r="I103" t="s">
        <v>781</v>
      </c>
      <c r="J103">
        <v>4</v>
      </c>
      <c r="K103">
        <v>31000</v>
      </c>
      <c r="L103">
        <f>HotelSales[[#This Row],[Stay_Nights]]*HotelSales[[#This Row],[Room_Rate]]</f>
        <v>31000</v>
      </c>
      <c r="M103">
        <v>9000</v>
      </c>
      <c r="N103">
        <f>HotelSales[[#This Row],[Room_Revenue]]+HotelSales[[#This Row],[Restaurant_Spend]]</f>
        <v>40000</v>
      </c>
      <c r="O103" t="s">
        <v>783</v>
      </c>
    </row>
    <row r="104" spans="1:15">
      <c r="A104" t="s">
        <v>114</v>
      </c>
      <c r="B104" t="s">
        <v>602</v>
      </c>
      <c r="C104" s="2">
        <v>45724.245381944442</v>
      </c>
      <c r="D104" s="1">
        <v>45733.245381944442</v>
      </c>
      <c r="E104" s="1">
        <v>45735.245381944442</v>
      </c>
      <c r="F104">
        <f>HotelSales[[#This Row],[Check_Out]]-HotelSales[[#This Row],[Check_In]]</f>
        <v>2</v>
      </c>
      <c r="G104" t="s">
        <v>775</v>
      </c>
      <c r="H104" t="s">
        <v>778</v>
      </c>
      <c r="I104" t="s">
        <v>780</v>
      </c>
      <c r="J104">
        <v>2</v>
      </c>
      <c r="K104">
        <v>13000</v>
      </c>
      <c r="L104">
        <f>HotelSales[[#This Row],[Stay_Nights]]*HotelSales[[#This Row],[Room_Rate]]</f>
        <v>26000</v>
      </c>
      <c r="M104">
        <v>3500</v>
      </c>
      <c r="N104">
        <f>HotelSales[[#This Row],[Room_Revenue]]+HotelSales[[#This Row],[Restaurant_Spend]]</f>
        <v>29500</v>
      </c>
      <c r="O104" t="s">
        <v>784</v>
      </c>
    </row>
    <row r="105" spans="1:15">
      <c r="A105" t="s">
        <v>115</v>
      </c>
      <c r="B105" t="s">
        <v>602</v>
      </c>
      <c r="C105" s="2">
        <v>45724.520509259259</v>
      </c>
      <c r="D105" s="1">
        <v>45737.520509259259</v>
      </c>
      <c r="E105" s="1">
        <v>45740.520509259259</v>
      </c>
      <c r="F105">
        <f>HotelSales[[#This Row],[Check_Out]]-HotelSales[[#This Row],[Check_In]]</f>
        <v>3</v>
      </c>
      <c r="G105" t="s">
        <v>775</v>
      </c>
      <c r="H105" t="s">
        <v>778</v>
      </c>
      <c r="I105" t="s">
        <v>780</v>
      </c>
      <c r="J105">
        <v>2</v>
      </c>
      <c r="K105">
        <v>11000</v>
      </c>
      <c r="L105">
        <f>HotelSales[[#This Row],[Stay_Nights]]*HotelSales[[#This Row],[Room_Rate]]</f>
        <v>33000</v>
      </c>
      <c r="M105">
        <v>7500</v>
      </c>
      <c r="N105">
        <f>HotelSales[[#This Row],[Room_Revenue]]+HotelSales[[#This Row],[Restaurant_Spend]]</f>
        <v>40500</v>
      </c>
      <c r="O105" t="s">
        <v>786</v>
      </c>
    </row>
    <row r="106" spans="1:15">
      <c r="A106" t="s">
        <v>116</v>
      </c>
      <c r="B106" t="s">
        <v>603</v>
      </c>
      <c r="C106" s="2">
        <v>45725.204467592594</v>
      </c>
      <c r="D106" s="1">
        <v>45741.204467592594</v>
      </c>
      <c r="E106" s="1">
        <v>45744.204467592594</v>
      </c>
      <c r="F106">
        <f>HotelSales[[#This Row],[Check_Out]]-HotelSales[[#This Row],[Check_In]]</f>
        <v>3</v>
      </c>
      <c r="G106" t="s">
        <v>776</v>
      </c>
      <c r="H106" t="s">
        <v>777</v>
      </c>
      <c r="I106" t="s">
        <v>779</v>
      </c>
      <c r="J106">
        <v>2</v>
      </c>
      <c r="K106">
        <v>19000</v>
      </c>
      <c r="L106">
        <f>HotelSales[[#This Row],[Stay_Nights]]*HotelSales[[#This Row],[Room_Rate]]</f>
        <v>57000</v>
      </c>
      <c r="M106">
        <v>7000</v>
      </c>
      <c r="N106">
        <f>HotelSales[[#This Row],[Room_Revenue]]+HotelSales[[#This Row],[Restaurant_Spend]]</f>
        <v>64000</v>
      </c>
      <c r="O106" t="s">
        <v>787</v>
      </c>
    </row>
    <row r="107" spans="1:15">
      <c r="A107" t="s">
        <v>117</v>
      </c>
      <c r="B107" t="s">
        <v>596</v>
      </c>
      <c r="C107" s="2">
        <v>45725.967060185183</v>
      </c>
      <c r="D107" s="1">
        <v>45750.967060185183</v>
      </c>
      <c r="E107" s="1">
        <v>45752.967060185183</v>
      </c>
      <c r="F107">
        <f>HotelSales[[#This Row],[Check_Out]]-HotelSales[[#This Row],[Check_In]]</f>
        <v>2</v>
      </c>
      <c r="G107" t="s">
        <v>775</v>
      </c>
      <c r="H107" t="s">
        <v>778</v>
      </c>
      <c r="I107" t="s">
        <v>780</v>
      </c>
      <c r="J107">
        <v>4</v>
      </c>
      <c r="K107">
        <v>13000</v>
      </c>
      <c r="L107">
        <f>HotelSales[[#This Row],[Stay_Nights]]*HotelSales[[#This Row],[Room_Rate]]</f>
        <v>26000</v>
      </c>
      <c r="M107">
        <v>1000</v>
      </c>
      <c r="N107">
        <f>HotelSales[[#This Row],[Room_Revenue]]+HotelSales[[#This Row],[Restaurant_Spend]]</f>
        <v>27000</v>
      </c>
      <c r="O107" t="s">
        <v>786</v>
      </c>
    </row>
    <row r="108" spans="1:15">
      <c r="A108" t="s">
        <v>118</v>
      </c>
      <c r="B108" t="s">
        <v>604</v>
      </c>
      <c r="C108" s="2">
        <v>45727.063726851848</v>
      </c>
      <c r="D108" s="1">
        <v>45729.063726851848</v>
      </c>
      <c r="E108" s="1">
        <v>45736.063726851848</v>
      </c>
      <c r="F108">
        <f>HotelSales[[#This Row],[Check_Out]]-HotelSales[[#This Row],[Check_In]]</f>
        <v>7</v>
      </c>
      <c r="G108" t="s">
        <v>776</v>
      </c>
      <c r="H108" t="s">
        <v>777</v>
      </c>
      <c r="I108" t="s">
        <v>779</v>
      </c>
      <c r="J108">
        <v>2</v>
      </c>
      <c r="K108">
        <v>19000</v>
      </c>
      <c r="L108">
        <f>HotelSales[[#This Row],[Stay_Nights]]*HotelSales[[#This Row],[Room_Rate]]</f>
        <v>133000</v>
      </c>
      <c r="M108">
        <v>5500</v>
      </c>
      <c r="N108">
        <f>HotelSales[[#This Row],[Room_Revenue]]+HotelSales[[#This Row],[Restaurant_Spend]]</f>
        <v>138500</v>
      </c>
      <c r="O108" t="s">
        <v>783</v>
      </c>
    </row>
    <row r="109" spans="1:15">
      <c r="A109" t="s">
        <v>119</v>
      </c>
      <c r="B109" t="s">
        <v>605</v>
      </c>
      <c r="C109" s="2">
        <v>45728.172488425917</v>
      </c>
      <c r="D109" s="1">
        <v>45732.172488425917</v>
      </c>
      <c r="E109" s="1">
        <v>45739.172488425917</v>
      </c>
      <c r="F109">
        <f>HotelSales[[#This Row],[Check_Out]]-HotelSales[[#This Row],[Check_In]]</f>
        <v>7</v>
      </c>
      <c r="G109" t="s">
        <v>776</v>
      </c>
      <c r="H109" t="s">
        <v>777</v>
      </c>
      <c r="I109" t="s">
        <v>780</v>
      </c>
      <c r="J109">
        <v>3</v>
      </c>
      <c r="K109">
        <v>19000</v>
      </c>
      <c r="L109">
        <f>HotelSales[[#This Row],[Stay_Nights]]*HotelSales[[#This Row],[Room_Rate]]</f>
        <v>133000</v>
      </c>
      <c r="M109">
        <v>4500</v>
      </c>
      <c r="N109">
        <f>HotelSales[[#This Row],[Room_Revenue]]+HotelSales[[#This Row],[Restaurant_Spend]]</f>
        <v>137500</v>
      </c>
      <c r="O109" t="s">
        <v>783</v>
      </c>
    </row>
    <row r="110" spans="1:15">
      <c r="A110" t="s">
        <v>120</v>
      </c>
      <c r="B110" t="s">
        <v>597</v>
      </c>
      <c r="C110" s="2">
        <v>45728.392939814818</v>
      </c>
      <c r="D110" s="1">
        <v>45755.392939814818</v>
      </c>
      <c r="E110" s="1">
        <v>45758.392939814818</v>
      </c>
      <c r="F110">
        <f>HotelSales[[#This Row],[Check_Out]]-HotelSales[[#This Row],[Check_In]]</f>
        <v>3</v>
      </c>
      <c r="G110" t="s">
        <v>776</v>
      </c>
      <c r="H110" t="s">
        <v>778</v>
      </c>
      <c r="I110" t="s">
        <v>780</v>
      </c>
      <c r="J110">
        <v>2</v>
      </c>
      <c r="K110">
        <v>18000</v>
      </c>
      <c r="L110">
        <f>HotelSales[[#This Row],[Stay_Nights]]*HotelSales[[#This Row],[Room_Rate]]</f>
        <v>54000</v>
      </c>
      <c r="M110">
        <v>9000</v>
      </c>
      <c r="N110">
        <f>HotelSales[[#This Row],[Room_Revenue]]+HotelSales[[#This Row],[Restaurant_Spend]]</f>
        <v>63000</v>
      </c>
      <c r="O110" t="s">
        <v>787</v>
      </c>
    </row>
    <row r="111" spans="1:15">
      <c r="A111" t="s">
        <v>121</v>
      </c>
      <c r="B111" t="s">
        <v>579</v>
      </c>
      <c r="C111" s="2">
        <v>45728.820601851847</v>
      </c>
      <c r="D111" s="1">
        <v>45733.820601851847</v>
      </c>
      <c r="E111" s="1">
        <v>45736.820601851847</v>
      </c>
      <c r="F111">
        <f>HotelSales[[#This Row],[Check_Out]]-HotelSales[[#This Row],[Check_In]]</f>
        <v>3</v>
      </c>
      <c r="G111" t="s">
        <v>774</v>
      </c>
      <c r="H111" t="s">
        <v>778</v>
      </c>
      <c r="I111" t="s">
        <v>779</v>
      </c>
      <c r="J111">
        <v>4</v>
      </c>
      <c r="K111">
        <v>29000</v>
      </c>
      <c r="L111">
        <f>HotelSales[[#This Row],[Stay_Nights]]*HotelSales[[#This Row],[Room_Rate]]</f>
        <v>87000</v>
      </c>
      <c r="M111">
        <v>12500</v>
      </c>
      <c r="N111">
        <f>HotelSales[[#This Row],[Room_Revenue]]+HotelSales[[#This Row],[Restaurant_Spend]]</f>
        <v>99500</v>
      </c>
      <c r="O111" t="s">
        <v>782</v>
      </c>
    </row>
    <row r="112" spans="1:15">
      <c r="A112" t="s">
        <v>122</v>
      </c>
      <c r="B112" t="s">
        <v>606</v>
      </c>
      <c r="C112" s="2">
        <v>45729.703703703701</v>
      </c>
      <c r="D112" s="1">
        <v>45735.703703703701</v>
      </c>
      <c r="E112" s="1">
        <v>45736.703703703701</v>
      </c>
      <c r="F112">
        <f>HotelSales[[#This Row],[Check_Out]]-HotelSales[[#This Row],[Check_In]]</f>
        <v>1</v>
      </c>
      <c r="G112" t="s">
        <v>774</v>
      </c>
      <c r="H112" t="s">
        <v>777</v>
      </c>
      <c r="I112" t="s">
        <v>779</v>
      </c>
      <c r="J112">
        <v>2</v>
      </c>
      <c r="K112">
        <v>30000</v>
      </c>
      <c r="L112">
        <f>HotelSales[[#This Row],[Stay_Nights]]*HotelSales[[#This Row],[Room_Rate]]</f>
        <v>30000</v>
      </c>
      <c r="M112">
        <v>3000</v>
      </c>
      <c r="N112">
        <f>HotelSales[[#This Row],[Room_Revenue]]+HotelSales[[#This Row],[Restaurant_Spend]]</f>
        <v>33000</v>
      </c>
      <c r="O112" t="s">
        <v>783</v>
      </c>
    </row>
    <row r="113" spans="1:15">
      <c r="A113" t="s">
        <v>123</v>
      </c>
      <c r="B113" t="s">
        <v>525</v>
      </c>
      <c r="C113" s="2">
        <v>45729.766736111109</v>
      </c>
      <c r="D113" s="1">
        <v>45734.766736111109</v>
      </c>
      <c r="E113" s="1">
        <v>45736.766736111109</v>
      </c>
      <c r="F113">
        <f>HotelSales[[#This Row],[Check_Out]]-HotelSales[[#This Row],[Check_In]]</f>
        <v>2</v>
      </c>
      <c r="G113" t="s">
        <v>775</v>
      </c>
      <c r="H113" t="s">
        <v>777</v>
      </c>
      <c r="I113" t="s">
        <v>780</v>
      </c>
      <c r="J113">
        <v>2</v>
      </c>
      <c r="K113">
        <v>12000</v>
      </c>
      <c r="L113">
        <f>HotelSales[[#This Row],[Stay_Nights]]*HotelSales[[#This Row],[Room_Rate]]</f>
        <v>24000</v>
      </c>
      <c r="M113">
        <v>6500</v>
      </c>
      <c r="N113">
        <f>HotelSales[[#This Row],[Room_Revenue]]+HotelSales[[#This Row],[Restaurant_Spend]]</f>
        <v>30500</v>
      </c>
      <c r="O113" t="s">
        <v>782</v>
      </c>
    </row>
    <row r="114" spans="1:15">
      <c r="A114" t="s">
        <v>124</v>
      </c>
      <c r="B114" t="s">
        <v>515</v>
      </c>
      <c r="C114" s="2">
        <v>45730.744074074071</v>
      </c>
      <c r="D114" s="1">
        <v>45753.744074074071</v>
      </c>
      <c r="E114" s="1">
        <v>45758.744074074071</v>
      </c>
      <c r="F114">
        <f>HotelSales[[#This Row],[Check_Out]]-HotelSales[[#This Row],[Check_In]]</f>
        <v>5</v>
      </c>
      <c r="G114" t="s">
        <v>775</v>
      </c>
      <c r="H114" t="s">
        <v>778</v>
      </c>
      <c r="I114" t="s">
        <v>781</v>
      </c>
      <c r="J114">
        <v>1</v>
      </c>
      <c r="K114">
        <v>13000</v>
      </c>
      <c r="L114">
        <f>HotelSales[[#This Row],[Stay_Nights]]*HotelSales[[#This Row],[Room_Rate]]</f>
        <v>65000</v>
      </c>
      <c r="M114">
        <v>5000</v>
      </c>
      <c r="N114">
        <f>HotelSales[[#This Row],[Room_Revenue]]+HotelSales[[#This Row],[Restaurant_Spend]]</f>
        <v>70000</v>
      </c>
      <c r="O114" t="s">
        <v>784</v>
      </c>
    </row>
    <row r="115" spans="1:15">
      <c r="A115" t="s">
        <v>125</v>
      </c>
      <c r="B115" t="s">
        <v>607</v>
      </c>
      <c r="C115" s="2">
        <v>45730.830069444448</v>
      </c>
      <c r="D115" s="1">
        <v>45738.830069444448</v>
      </c>
      <c r="E115" s="1">
        <v>45745.830069444448</v>
      </c>
      <c r="F115">
        <f>HotelSales[[#This Row],[Check_Out]]-HotelSales[[#This Row],[Check_In]]</f>
        <v>7</v>
      </c>
      <c r="G115" t="s">
        <v>776</v>
      </c>
      <c r="H115" t="s">
        <v>778</v>
      </c>
      <c r="I115" t="s">
        <v>780</v>
      </c>
      <c r="J115">
        <v>2</v>
      </c>
      <c r="K115">
        <v>19000</v>
      </c>
      <c r="L115">
        <f>HotelSales[[#This Row],[Stay_Nights]]*HotelSales[[#This Row],[Room_Rate]]</f>
        <v>133000</v>
      </c>
      <c r="M115">
        <v>7500</v>
      </c>
      <c r="N115">
        <f>HotelSales[[#This Row],[Room_Revenue]]+HotelSales[[#This Row],[Restaurant_Spend]]</f>
        <v>140500</v>
      </c>
      <c r="O115" t="s">
        <v>783</v>
      </c>
    </row>
    <row r="116" spans="1:15">
      <c r="A116" t="s">
        <v>126</v>
      </c>
      <c r="B116" t="s">
        <v>608</v>
      </c>
      <c r="C116" s="2">
        <v>45731.478750000002</v>
      </c>
      <c r="D116" s="1">
        <v>45732.478750000002</v>
      </c>
      <c r="E116" s="1">
        <v>45737.478750000002</v>
      </c>
      <c r="F116">
        <f>HotelSales[[#This Row],[Check_Out]]-HotelSales[[#This Row],[Check_In]]</f>
        <v>5</v>
      </c>
      <c r="G116" t="s">
        <v>775</v>
      </c>
      <c r="H116" t="s">
        <v>777</v>
      </c>
      <c r="I116" t="s">
        <v>781</v>
      </c>
      <c r="J116">
        <v>3</v>
      </c>
      <c r="K116">
        <v>13000</v>
      </c>
      <c r="L116">
        <f>HotelSales[[#This Row],[Stay_Nights]]*HotelSales[[#This Row],[Room_Rate]]</f>
        <v>65000</v>
      </c>
      <c r="M116">
        <v>9500</v>
      </c>
      <c r="N116">
        <f>HotelSales[[#This Row],[Room_Revenue]]+HotelSales[[#This Row],[Restaurant_Spend]]</f>
        <v>74500</v>
      </c>
      <c r="O116" t="s">
        <v>785</v>
      </c>
    </row>
    <row r="117" spans="1:15">
      <c r="A117" t="s">
        <v>127</v>
      </c>
      <c r="B117" t="s">
        <v>609</v>
      </c>
      <c r="C117" s="2">
        <v>45733.25037037037</v>
      </c>
      <c r="D117" s="1">
        <v>45745.25037037037</v>
      </c>
      <c r="E117" s="1">
        <v>45750.25037037037</v>
      </c>
      <c r="F117">
        <f>HotelSales[[#This Row],[Check_Out]]-HotelSales[[#This Row],[Check_In]]</f>
        <v>5</v>
      </c>
      <c r="G117" t="s">
        <v>774</v>
      </c>
      <c r="H117" t="s">
        <v>777</v>
      </c>
      <c r="I117" t="s">
        <v>779</v>
      </c>
      <c r="J117">
        <v>2</v>
      </c>
      <c r="K117">
        <v>29000</v>
      </c>
      <c r="L117">
        <f>HotelSales[[#This Row],[Stay_Nights]]*HotelSales[[#This Row],[Room_Rate]]</f>
        <v>145000</v>
      </c>
      <c r="M117">
        <v>11000</v>
      </c>
      <c r="N117">
        <f>HotelSales[[#This Row],[Room_Revenue]]+HotelSales[[#This Row],[Restaurant_Spend]]</f>
        <v>156000</v>
      </c>
      <c r="O117" t="s">
        <v>783</v>
      </c>
    </row>
    <row r="118" spans="1:15">
      <c r="A118" t="s">
        <v>128</v>
      </c>
      <c r="B118" t="s">
        <v>586</v>
      </c>
      <c r="C118" s="2">
        <v>45733.804930555547</v>
      </c>
      <c r="D118" s="1">
        <v>45758.804930555547</v>
      </c>
      <c r="E118" s="1">
        <v>45760.804930555547</v>
      </c>
      <c r="F118">
        <f>HotelSales[[#This Row],[Check_Out]]-HotelSales[[#This Row],[Check_In]]</f>
        <v>2</v>
      </c>
      <c r="G118" t="s">
        <v>775</v>
      </c>
      <c r="H118" t="s">
        <v>778</v>
      </c>
      <c r="I118" t="s">
        <v>779</v>
      </c>
      <c r="J118">
        <v>2</v>
      </c>
      <c r="K118">
        <v>11000</v>
      </c>
      <c r="L118">
        <f>HotelSales[[#This Row],[Stay_Nights]]*HotelSales[[#This Row],[Room_Rate]]</f>
        <v>22000</v>
      </c>
      <c r="M118">
        <v>1000</v>
      </c>
      <c r="N118">
        <f>HotelSales[[#This Row],[Room_Revenue]]+HotelSales[[#This Row],[Restaurant_Spend]]</f>
        <v>23000</v>
      </c>
      <c r="O118" t="s">
        <v>784</v>
      </c>
    </row>
    <row r="119" spans="1:15">
      <c r="A119" t="s">
        <v>129</v>
      </c>
      <c r="B119" t="s">
        <v>609</v>
      </c>
      <c r="C119" s="2">
        <v>45734.929456018523</v>
      </c>
      <c r="D119" s="1">
        <v>45759.929456018523</v>
      </c>
      <c r="E119" s="1">
        <v>45760.929456018523</v>
      </c>
      <c r="F119">
        <f>HotelSales[[#This Row],[Check_Out]]-HotelSales[[#This Row],[Check_In]]</f>
        <v>1</v>
      </c>
      <c r="G119" t="s">
        <v>776</v>
      </c>
      <c r="H119" t="s">
        <v>778</v>
      </c>
      <c r="I119" t="s">
        <v>781</v>
      </c>
      <c r="J119">
        <v>3</v>
      </c>
      <c r="K119">
        <v>17000</v>
      </c>
      <c r="L119">
        <f>HotelSales[[#This Row],[Stay_Nights]]*HotelSales[[#This Row],[Room_Rate]]</f>
        <v>17000</v>
      </c>
      <c r="M119">
        <v>7000</v>
      </c>
      <c r="N119">
        <f>HotelSales[[#This Row],[Room_Revenue]]+HotelSales[[#This Row],[Restaurant_Spend]]</f>
        <v>24000</v>
      </c>
      <c r="O119" t="s">
        <v>785</v>
      </c>
    </row>
    <row r="120" spans="1:15">
      <c r="A120" t="s">
        <v>130</v>
      </c>
      <c r="B120" t="s">
        <v>610</v>
      </c>
      <c r="C120" s="2">
        <v>45735.616018518522</v>
      </c>
      <c r="D120" s="1">
        <v>45743.616018518522</v>
      </c>
      <c r="E120" s="1">
        <v>45745.616018518522</v>
      </c>
      <c r="F120">
        <f>HotelSales[[#This Row],[Check_Out]]-HotelSales[[#This Row],[Check_In]]</f>
        <v>2</v>
      </c>
      <c r="G120" t="s">
        <v>775</v>
      </c>
      <c r="H120" t="s">
        <v>778</v>
      </c>
      <c r="I120" t="s">
        <v>780</v>
      </c>
      <c r="J120">
        <v>2</v>
      </c>
      <c r="K120">
        <v>12000</v>
      </c>
      <c r="L120">
        <f>HotelSales[[#This Row],[Stay_Nights]]*HotelSales[[#This Row],[Room_Rate]]</f>
        <v>24000</v>
      </c>
      <c r="M120">
        <v>7000</v>
      </c>
      <c r="N120">
        <f>HotelSales[[#This Row],[Room_Revenue]]+HotelSales[[#This Row],[Restaurant_Spend]]</f>
        <v>31000</v>
      </c>
      <c r="O120" t="s">
        <v>785</v>
      </c>
    </row>
    <row r="121" spans="1:15">
      <c r="A121" t="s">
        <v>131</v>
      </c>
      <c r="B121" t="s">
        <v>611</v>
      </c>
      <c r="C121" s="2">
        <v>45736.037858796299</v>
      </c>
      <c r="D121" s="1">
        <v>45752.037858796299</v>
      </c>
      <c r="E121" s="1">
        <v>45754.037858796299</v>
      </c>
      <c r="F121">
        <f>HotelSales[[#This Row],[Check_Out]]-HotelSales[[#This Row],[Check_In]]</f>
        <v>2</v>
      </c>
      <c r="G121" t="s">
        <v>776</v>
      </c>
      <c r="H121" t="s">
        <v>777</v>
      </c>
      <c r="I121" t="s">
        <v>780</v>
      </c>
      <c r="J121">
        <v>2</v>
      </c>
      <c r="K121">
        <v>18000</v>
      </c>
      <c r="L121">
        <f>HotelSales[[#This Row],[Stay_Nights]]*HotelSales[[#This Row],[Room_Rate]]</f>
        <v>36000</v>
      </c>
      <c r="M121">
        <v>5500</v>
      </c>
      <c r="N121">
        <f>HotelSales[[#This Row],[Room_Revenue]]+HotelSales[[#This Row],[Restaurant_Spend]]</f>
        <v>41500</v>
      </c>
      <c r="O121" t="s">
        <v>786</v>
      </c>
    </row>
    <row r="122" spans="1:15">
      <c r="A122" t="s">
        <v>132</v>
      </c>
      <c r="B122" t="s">
        <v>612</v>
      </c>
      <c r="C122" s="2">
        <v>45737.334490740737</v>
      </c>
      <c r="D122" s="1">
        <v>45749.334490740737</v>
      </c>
      <c r="E122" s="1">
        <v>45752.334490740737</v>
      </c>
      <c r="F122">
        <f>HotelSales[[#This Row],[Check_Out]]-HotelSales[[#This Row],[Check_In]]</f>
        <v>3</v>
      </c>
      <c r="G122" t="s">
        <v>775</v>
      </c>
      <c r="H122" t="s">
        <v>777</v>
      </c>
      <c r="I122" t="s">
        <v>780</v>
      </c>
      <c r="J122">
        <v>1</v>
      </c>
      <c r="K122">
        <v>13000</v>
      </c>
      <c r="L122">
        <f>HotelSales[[#This Row],[Stay_Nights]]*HotelSales[[#This Row],[Room_Rate]]</f>
        <v>39000</v>
      </c>
      <c r="M122">
        <v>9500</v>
      </c>
      <c r="N122">
        <f>HotelSales[[#This Row],[Room_Revenue]]+HotelSales[[#This Row],[Restaurant_Spend]]</f>
        <v>48500</v>
      </c>
      <c r="O122" t="s">
        <v>782</v>
      </c>
    </row>
    <row r="123" spans="1:15">
      <c r="A123" t="s">
        <v>133</v>
      </c>
      <c r="B123" t="s">
        <v>613</v>
      </c>
      <c r="C123" s="2">
        <v>45737.398043981477</v>
      </c>
      <c r="D123" s="1">
        <v>45763.398043981477</v>
      </c>
      <c r="E123" s="1">
        <v>45765.398043981477</v>
      </c>
      <c r="F123">
        <f>HotelSales[[#This Row],[Check_Out]]-HotelSales[[#This Row],[Check_In]]</f>
        <v>2</v>
      </c>
      <c r="G123" t="s">
        <v>776</v>
      </c>
      <c r="H123" t="s">
        <v>778</v>
      </c>
      <c r="I123" t="s">
        <v>781</v>
      </c>
      <c r="J123">
        <v>2</v>
      </c>
      <c r="K123">
        <v>19000</v>
      </c>
      <c r="L123">
        <f>HotelSales[[#This Row],[Stay_Nights]]*HotelSales[[#This Row],[Room_Rate]]</f>
        <v>38000</v>
      </c>
      <c r="M123">
        <v>11000</v>
      </c>
      <c r="N123">
        <f>HotelSales[[#This Row],[Room_Revenue]]+HotelSales[[#This Row],[Restaurant_Spend]]</f>
        <v>49000</v>
      </c>
      <c r="O123" t="s">
        <v>784</v>
      </c>
    </row>
    <row r="124" spans="1:15">
      <c r="A124" t="s">
        <v>134</v>
      </c>
      <c r="B124" t="s">
        <v>614</v>
      </c>
      <c r="C124" s="2">
        <v>45738.160613425927</v>
      </c>
      <c r="D124" s="1">
        <v>45755.160613425927</v>
      </c>
      <c r="E124" s="1">
        <v>45762.160613425927</v>
      </c>
      <c r="F124">
        <f>HotelSales[[#This Row],[Check_Out]]-HotelSales[[#This Row],[Check_In]]</f>
        <v>7</v>
      </c>
      <c r="G124" t="s">
        <v>776</v>
      </c>
      <c r="H124" t="s">
        <v>778</v>
      </c>
      <c r="I124" t="s">
        <v>781</v>
      </c>
      <c r="J124">
        <v>2</v>
      </c>
      <c r="K124">
        <v>18000</v>
      </c>
      <c r="L124">
        <f>HotelSales[[#This Row],[Stay_Nights]]*HotelSales[[#This Row],[Room_Rate]]</f>
        <v>126000</v>
      </c>
      <c r="M124">
        <v>0</v>
      </c>
      <c r="N124">
        <f>HotelSales[[#This Row],[Room_Revenue]]+HotelSales[[#This Row],[Restaurant_Spend]]</f>
        <v>126000</v>
      </c>
      <c r="O124" t="s">
        <v>786</v>
      </c>
    </row>
    <row r="125" spans="1:15">
      <c r="A125" t="s">
        <v>135</v>
      </c>
      <c r="B125" t="s">
        <v>615</v>
      </c>
      <c r="C125" s="2">
        <v>45738.320659722223</v>
      </c>
      <c r="D125" s="1">
        <v>45744.320659722223</v>
      </c>
      <c r="E125" s="1">
        <v>45750.320659722223</v>
      </c>
      <c r="F125">
        <f>HotelSales[[#This Row],[Check_Out]]-HotelSales[[#This Row],[Check_In]]</f>
        <v>6</v>
      </c>
      <c r="G125" t="s">
        <v>775</v>
      </c>
      <c r="H125" t="s">
        <v>778</v>
      </c>
      <c r="I125" t="s">
        <v>780</v>
      </c>
      <c r="J125">
        <v>2</v>
      </c>
      <c r="K125">
        <v>11000</v>
      </c>
      <c r="L125">
        <f>HotelSales[[#This Row],[Stay_Nights]]*HotelSales[[#This Row],[Room_Rate]]</f>
        <v>66000</v>
      </c>
      <c r="M125">
        <v>1000</v>
      </c>
      <c r="N125">
        <f>HotelSales[[#This Row],[Room_Revenue]]+HotelSales[[#This Row],[Restaurant_Spend]]</f>
        <v>67000</v>
      </c>
      <c r="O125" t="s">
        <v>785</v>
      </c>
    </row>
    <row r="126" spans="1:15">
      <c r="A126" t="s">
        <v>136</v>
      </c>
      <c r="B126" t="s">
        <v>616</v>
      </c>
      <c r="C126" s="2">
        <v>45738.483298611107</v>
      </c>
      <c r="D126" s="1">
        <v>45768.483298611107</v>
      </c>
      <c r="E126" s="1">
        <v>45775.483298611107</v>
      </c>
      <c r="F126">
        <f>HotelSales[[#This Row],[Check_Out]]-HotelSales[[#This Row],[Check_In]]</f>
        <v>7</v>
      </c>
      <c r="G126" t="s">
        <v>776</v>
      </c>
      <c r="H126" t="s">
        <v>777</v>
      </c>
      <c r="I126" t="s">
        <v>780</v>
      </c>
      <c r="J126">
        <v>2</v>
      </c>
      <c r="K126">
        <v>19000</v>
      </c>
      <c r="L126">
        <f>HotelSales[[#This Row],[Stay_Nights]]*HotelSales[[#This Row],[Room_Rate]]</f>
        <v>133000</v>
      </c>
      <c r="M126">
        <v>14000</v>
      </c>
      <c r="N126">
        <f>HotelSales[[#This Row],[Room_Revenue]]+HotelSales[[#This Row],[Restaurant_Spend]]</f>
        <v>147000</v>
      </c>
      <c r="O126" t="s">
        <v>782</v>
      </c>
    </row>
    <row r="127" spans="1:15">
      <c r="A127" t="s">
        <v>137</v>
      </c>
      <c r="B127" t="s">
        <v>617</v>
      </c>
      <c r="C127" s="2">
        <v>45738.832129629627</v>
      </c>
      <c r="D127" s="1">
        <v>45766.832129629627</v>
      </c>
      <c r="E127" s="1">
        <v>45772.832129629627</v>
      </c>
      <c r="F127">
        <f>HotelSales[[#This Row],[Check_Out]]-HotelSales[[#This Row],[Check_In]]</f>
        <v>6</v>
      </c>
      <c r="G127" t="s">
        <v>774</v>
      </c>
      <c r="H127" t="s">
        <v>777</v>
      </c>
      <c r="I127" t="s">
        <v>781</v>
      </c>
      <c r="J127">
        <v>2</v>
      </c>
      <c r="K127">
        <v>29000</v>
      </c>
      <c r="L127">
        <f>HotelSales[[#This Row],[Stay_Nights]]*HotelSales[[#This Row],[Room_Rate]]</f>
        <v>174000</v>
      </c>
      <c r="M127">
        <v>10500</v>
      </c>
      <c r="N127">
        <f>HotelSales[[#This Row],[Room_Revenue]]+HotelSales[[#This Row],[Restaurant_Spend]]</f>
        <v>184500</v>
      </c>
      <c r="O127" t="s">
        <v>785</v>
      </c>
    </row>
    <row r="128" spans="1:15">
      <c r="A128" t="s">
        <v>138</v>
      </c>
      <c r="B128" t="s">
        <v>618</v>
      </c>
      <c r="C128" s="2">
        <v>45739.048460648148</v>
      </c>
      <c r="D128" s="1">
        <v>45758.048460648148</v>
      </c>
      <c r="E128" s="1">
        <v>45761.048460648148</v>
      </c>
      <c r="F128">
        <f>HotelSales[[#This Row],[Check_Out]]-HotelSales[[#This Row],[Check_In]]</f>
        <v>3</v>
      </c>
      <c r="G128" t="s">
        <v>775</v>
      </c>
      <c r="H128" t="s">
        <v>778</v>
      </c>
      <c r="I128" t="s">
        <v>780</v>
      </c>
      <c r="J128">
        <v>2</v>
      </c>
      <c r="K128">
        <v>12000</v>
      </c>
      <c r="L128">
        <f>HotelSales[[#This Row],[Stay_Nights]]*HotelSales[[#This Row],[Room_Rate]]</f>
        <v>36000</v>
      </c>
      <c r="M128">
        <v>11500</v>
      </c>
      <c r="N128">
        <f>HotelSales[[#This Row],[Room_Revenue]]+HotelSales[[#This Row],[Restaurant_Spend]]</f>
        <v>47500</v>
      </c>
      <c r="O128" t="s">
        <v>783</v>
      </c>
    </row>
    <row r="129" spans="1:15">
      <c r="A129" t="s">
        <v>139</v>
      </c>
      <c r="B129" t="s">
        <v>619</v>
      </c>
      <c r="C129" s="2">
        <v>45740.20107638889</v>
      </c>
      <c r="D129" s="1">
        <v>45754.20107638889</v>
      </c>
      <c r="E129" s="1">
        <v>45760.20107638889</v>
      </c>
      <c r="F129">
        <f>HotelSales[[#This Row],[Check_Out]]-HotelSales[[#This Row],[Check_In]]</f>
        <v>6</v>
      </c>
      <c r="G129" t="s">
        <v>774</v>
      </c>
      <c r="H129" t="s">
        <v>778</v>
      </c>
      <c r="I129" t="s">
        <v>781</v>
      </c>
      <c r="J129">
        <v>1</v>
      </c>
      <c r="K129">
        <v>29000</v>
      </c>
      <c r="L129">
        <f>HotelSales[[#This Row],[Stay_Nights]]*HotelSales[[#This Row],[Room_Rate]]</f>
        <v>174000</v>
      </c>
      <c r="M129">
        <v>2500</v>
      </c>
      <c r="N129">
        <f>HotelSales[[#This Row],[Room_Revenue]]+HotelSales[[#This Row],[Restaurant_Spend]]</f>
        <v>176500</v>
      </c>
      <c r="O129" t="s">
        <v>782</v>
      </c>
    </row>
    <row r="130" spans="1:15">
      <c r="A130" t="s">
        <v>140</v>
      </c>
      <c r="B130" t="s">
        <v>620</v>
      </c>
      <c r="C130" s="2">
        <v>45740.592928240738</v>
      </c>
      <c r="D130" s="1">
        <v>45741.592928240738</v>
      </c>
      <c r="E130" s="1">
        <v>45742.592928240738</v>
      </c>
      <c r="F130">
        <f>HotelSales[[#This Row],[Check_Out]]-HotelSales[[#This Row],[Check_In]]</f>
        <v>1</v>
      </c>
      <c r="G130" t="s">
        <v>776</v>
      </c>
      <c r="H130" t="s">
        <v>778</v>
      </c>
      <c r="I130" t="s">
        <v>780</v>
      </c>
      <c r="J130">
        <v>1</v>
      </c>
      <c r="K130">
        <v>18000</v>
      </c>
      <c r="L130">
        <f>HotelSales[[#This Row],[Stay_Nights]]*HotelSales[[#This Row],[Room_Rate]]</f>
        <v>18000</v>
      </c>
      <c r="M130">
        <v>1500</v>
      </c>
      <c r="N130">
        <f>HotelSales[[#This Row],[Room_Revenue]]+HotelSales[[#This Row],[Restaurant_Spend]]</f>
        <v>19500</v>
      </c>
      <c r="O130" t="s">
        <v>783</v>
      </c>
    </row>
    <row r="131" spans="1:15">
      <c r="A131" t="s">
        <v>141</v>
      </c>
      <c r="B131" t="s">
        <v>621</v>
      </c>
      <c r="C131" s="2">
        <v>45741.910914351851</v>
      </c>
      <c r="D131" s="1">
        <v>45761.910914351851</v>
      </c>
      <c r="E131" s="1">
        <v>45763.910914351851</v>
      </c>
      <c r="F131">
        <f>HotelSales[[#This Row],[Check_Out]]-HotelSales[[#This Row],[Check_In]]</f>
        <v>2</v>
      </c>
      <c r="G131" t="s">
        <v>776</v>
      </c>
      <c r="H131" t="s">
        <v>778</v>
      </c>
      <c r="I131" t="s">
        <v>779</v>
      </c>
      <c r="J131">
        <v>4</v>
      </c>
      <c r="K131">
        <v>18000</v>
      </c>
      <c r="L131">
        <f>HotelSales[[#This Row],[Stay_Nights]]*HotelSales[[#This Row],[Room_Rate]]</f>
        <v>36000</v>
      </c>
      <c r="M131">
        <v>3000</v>
      </c>
      <c r="N131">
        <f>HotelSales[[#This Row],[Room_Revenue]]+HotelSales[[#This Row],[Restaurant_Spend]]</f>
        <v>39000</v>
      </c>
      <c r="O131" t="s">
        <v>784</v>
      </c>
    </row>
    <row r="132" spans="1:15">
      <c r="A132" t="s">
        <v>142</v>
      </c>
      <c r="B132" t="s">
        <v>556</v>
      </c>
      <c r="C132" s="2">
        <v>45743.806921296287</v>
      </c>
      <c r="D132" s="1">
        <v>45747.806921296287</v>
      </c>
      <c r="E132" s="1">
        <v>45749.806921296287</v>
      </c>
      <c r="F132">
        <f>HotelSales[[#This Row],[Check_Out]]-HotelSales[[#This Row],[Check_In]]</f>
        <v>2</v>
      </c>
      <c r="G132" t="s">
        <v>775</v>
      </c>
      <c r="H132" t="s">
        <v>778</v>
      </c>
      <c r="I132" t="s">
        <v>780</v>
      </c>
      <c r="J132">
        <v>3</v>
      </c>
      <c r="K132">
        <v>11000</v>
      </c>
      <c r="L132">
        <f>HotelSales[[#This Row],[Stay_Nights]]*HotelSales[[#This Row],[Room_Rate]]</f>
        <v>22000</v>
      </c>
      <c r="M132">
        <v>4000</v>
      </c>
      <c r="N132">
        <f>HotelSales[[#This Row],[Room_Revenue]]+HotelSales[[#This Row],[Restaurant_Spend]]</f>
        <v>26000</v>
      </c>
      <c r="O132" t="s">
        <v>786</v>
      </c>
    </row>
    <row r="133" spans="1:15">
      <c r="A133" t="s">
        <v>143</v>
      </c>
      <c r="B133" t="s">
        <v>520</v>
      </c>
      <c r="C133" s="2">
        <v>45744.444560185177</v>
      </c>
      <c r="D133" s="1">
        <v>45761.444560185177</v>
      </c>
      <c r="E133" s="1">
        <v>45766.444560185177</v>
      </c>
      <c r="F133">
        <f>HotelSales[[#This Row],[Check_Out]]-HotelSales[[#This Row],[Check_In]]</f>
        <v>5</v>
      </c>
      <c r="G133" t="s">
        <v>775</v>
      </c>
      <c r="H133" t="s">
        <v>778</v>
      </c>
      <c r="I133" t="s">
        <v>779</v>
      </c>
      <c r="J133">
        <v>2</v>
      </c>
      <c r="K133">
        <v>13000</v>
      </c>
      <c r="L133">
        <f>HotelSales[[#This Row],[Stay_Nights]]*HotelSales[[#This Row],[Room_Rate]]</f>
        <v>65000</v>
      </c>
      <c r="M133">
        <v>11000</v>
      </c>
      <c r="N133">
        <f>HotelSales[[#This Row],[Room_Revenue]]+HotelSales[[#This Row],[Restaurant_Spend]]</f>
        <v>76000</v>
      </c>
      <c r="O133" t="s">
        <v>784</v>
      </c>
    </row>
    <row r="134" spans="1:15">
      <c r="A134" t="s">
        <v>144</v>
      </c>
      <c r="B134" t="s">
        <v>622</v>
      </c>
      <c r="C134" s="2">
        <v>45744.572002314817</v>
      </c>
      <c r="D134" s="1">
        <v>45755.572002314817</v>
      </c>
      <c r="E134" s="1">
        <v>45760.572002314817</v>
      </c>
      <c r="F134">
        <f>HotelSales[[#This Row],[Check_Out]]-HotelSales[[#This Row],[Check_In]]</f>
        <v>5</v>
      </c>
      <c r="G134" t="s">
        <v>776</v>
      </c>
      <c r="H134" t="s">
        <v>777</v>
      </c>
      <c r="I134" t="s">
        <v>781</v>
      </c>
      <c r="J134">
        <v>4</v>
      </c>
      <c r="K134">
        <v>17000</v>
      </c>
      <c r="L134">
        <f>HotelSales[[#This Row],[Stay_Nights]]*HotelSales[[#This Row],[Room_Rate]]</f>
        <v>85000</v>
      </c>
      <c r="M134">
        <v>10000</v>
      </c>
      <c r="N134">
        <f>HotelSales[[#This Row],[Room_Revenue]]+HotelSales[[#This Row],[Restaurant_Spend]]</f>
        <v>95000</v>
      </c>
      <c r="O134" t="s">
        <v>785</v>
      </c>
    </row>
    <row r="135" spans="1:15">
      <c r="A135" t="s">
        <v>145</v>
      </c>
      <c r="B135" t="s">
        <v>574</v>
      </c>
      <c r="C135" s="2">
        <v>45745.791122685187</v>
      </c>
      <c r="D135" s="1">
        <v>45767.791122685187</v>
      </c>
      <c r="E135" s="1">
        <v>45770.791122685187</v>
      </c>
      <c r="F135">
        <f>HotelSales[[#This Row],[Check_Out]]-HotelSales[[#This Row],[Check_In]]</f>
        <v>3</v>
      </c>
      <c r="G135" t="s">
        <v>775</v>
      </c>
      <c r="H135" t="s">
        <v>778</v>
      </c>
      <c r="I135" t="s">
        <v>779</v>
      </c>
      <c r="J135">
        <v>4</v>
      </c>
      <c r="K135">
        <v>12000</v>
      </c>
      <c r="L135">
        <f>HotelSales[[#This Row],[Stay_Nights]]*HotelSales[[#This Row],[Room_Rate]]</f>
        <v>36000</v>
      </c>
      <c r="M135">
        <v>16000</v>
      </c>
      <c r="N135">
        <f>HotelSales[[#This Row],[Room_Revenue]]+HotelSales[[#This Row],[Restaurant_Spend]]</f>
        <v>52000</v>
      </c>
      <c r="O135" t="s">
        <v>782</v>
      </c>
    </row>
    <row r="136" spans="1:15">
      <c r="A136" t="s">
        <v>146</v>
      </c>
      <c r="B136" t="s">
        <v>542</v>
      </c>
      <c r="C136" s="2">
        <v>45745.821388888893</v>
      </c>
      <c r="D136" s="1">
        <v>45774.821388888893</v>
      </c>
      <c r="E136" s="1">
        <v>45780.821388888893</v>
      </c>
      <c r="F136">
        <f>HotelSales[[#This Row],[Check_Out]]-HotelSales[[#This Row],[Check_In]]</f>
        <v>6</v>
      </c>
      <c r="G136" t="s">
        <v>775</v>
      </c>
      <c r="H136" t="s">
        <v>777</v>
      </c>
      <c r="I136" t="s">
        <v>780</v>
      </c>
      <c r="J136">
        <v>3</v>
      </c>
      <c r="K136">
        <v>12000</v>
      </c>
      <c r="L136">
        <f>HotelSales[[#This Row],[Stay_Nights]]*HotelSales[[#This Row],[Room_Rate]]</f>
        <v>72000</v>
      </c>
      <c r="M136">
        <v>7000</v>
      </c>
      <c r="N136">
        <f>HotelSales[[#This Row],[Room_Revenue]]+HotelSales[[#This Row],[Restaurant_Spend]]</f>
        <v>79000</v>
      </c>
      <c r="O136" t="s">
        <v>782</v>
      </c>
    </row>
    <row r="137" spans="1:15">
      <c r="A137" t="s">
        <v>147</v>
      </c>
      <c r="B137" t="s">
        <v>611</v>
      </c>
      <c r="C137" s="2">
        <v>45746.752500000002</v>
      </c>
      <c r="D137" s="1">
        <v>45759.752500000002</v>
      </c>
      <c r="E137" s="1">
        <v>45765.752500000002</v>
      </c>
      <c r="F137">
        <f>HotelSales[[#This Row],[Check_Out]]-HotelSales[[#This Row],[Check_In]]</f>
        <v>6</v>
      </c>
      <c r="G137" t="s">
        <v>775</v>
      </c>
      <c r="H137" t="s">
        <v>778</v>
      </c>
      <c r="I137" t="s">
        <v>781</v>
      </c>
      <c r="J137">
        <v>2</v>
      </c>
      <c r="K137">
        <v>12000</v>
      </c>
      <c r="L137">
        <f>HotelSales[[#This Row],[Stay_Nights]]*HotelSales[[#This Row],[Room_Rate]]</f>
        <v>72000</v>
      </c>
      <c r="M137">
        <v>8000</v>
      </c>
      <c r="N137">
        <f>HotelSales[[#This Row],[Room_Revenue]]+HotelSales[[#This Row],[Restaurant_Spend]]</f>
        <v>80000</v>
      </c>
      <c r="O137" t="s">
        <v>784</v>
      </c>
    </row>
    <row r="138" spans="1:15">
      <c r="A138" t="s">
        <v>148</v>
      </c>
      <c r="B138" t="s">
        <v>600</v>
      </c>
      <c r="C138" s="2">
        <v>45746.96806712963</v>
      </c>
      <c r="D138" s="1">
        <v>45775.96806712963</v>
      </c>
      <c r="E138" s="1">
        <v>45779.96806712963</v>
      </c>
      <c r="F138">
        <f>HotelSales[[#This Row],[Check_Out]]-HotelSales[[#This Row],[Check_In]]</f>
        <v>4</v>
      </c>
      <c r="G138" t="s">
        <v>775</v>
      </c>
      <c r="H138" t="s">
        <v>778</v>
      </c>
      <c r="I138" t="s">
        <v>779</v>
      </c>
      <c r="J138">
        <v>2</v>
      </c>
      <c r="K138">
        <v>12000</v>
      </c>
      <c r="L138">
        <f>HotelSales[[#This Row],[Stay_Nights]]*HotelSales[[#This Row],[Room_Rate]]</f>
        <v>48000</v>
      </c>
      <c r="M138">
        <v>3000</v>
      </c>
      <c r="N138">
        <f>HotelSales[[#This Row],[Room_Revenue]]+HotelSales[[#This Row],[Restaurant_Spend]]</f>
        <v>51000</v>
      </c>
      <c r="O138" t="s">
        <v>783</v>
      </c>
    </row>
    <row r="139" spans="1:15">
      <c r="A139" t="s">
        <v>149</v>
      </c>
      <c r="B139" t="s">
        <v>623</v>
      </c>
      <c r="C139" s="2">
        <v>45747.000972222217</v>
      </c>
      <c r="D139" s="1">
        <v>45777.000972222217</v>
      </c>
      <c r="E139" s="1">
        <v>45778.000972222217</v>
      </c>
      <c r="F139">
        <f>HotelSales[[#This Row],[Check_Out]]-HotelSales[[#This Row],[Check_In]]</f>
        <v>1</v>
      </c>
      <c r="G139" t="s">
        <v>774</v>
      </c>
      <c r="H139" t="s">
        <v>778</v>
      </c>
      <c r="I139" t="s">
        <v>779</v>
      </c>
      <c r="J139">
        <v>1</v>
      </c>
      <c r="K139">
        <v>30000</v>
      </c>
      <c r="L139">
        <f>HotelSales[[#This Row],[Stay_Nights]]*HotelSales[[#This Row],[Room_Rate]]</f>
        <v>30000</v>
      </c>
      <c r="M139">
        <v>4000</v>
      </c>
      <c r="N139">
        <f>HotelSales[[#This Row],[Room_Revenue]]+HotelSales[[#This Row],[Restaurant_Spend]]</f>
        <v>34000</v>
      </c>
      <c r="O139" t="s">
        <v>787</v>
      </c>
    </row>
    <row r="140" spans="1:15">
      <c r="A140" t="s">
        <v>150</v>
      </c>
      <c r="B140" t="s">
        <v>524</v>
      </c>
      <c r="C140" s="2">
        <v>45747.782430555562</v>
      </c>
      <c r="D140" s="1">
        <v>45749.782430555562</v>
      </c>
      <c r="E140" s="1">
        <v>45756.782430555562</v>
      </c>
      <c r="F140">
        <f>HotelSales[[#This Row],[Check_Out]]-HotelSales[[#This Row],[Check_In]]</f>
        <v>7</v>
      </c>
      <c r="G140" t="s">
        <v>776</v>
      </c>
      <c r="H140" t="s">
        <v>778</v>
      </c>
      <c r="I140" t="s">
        <v>780</v>
      </c>
      <c r="J140">
        <v>2</v>
      </c>
      <c r="K140">
        <v>17000</v>
      </c>
      <c r="L140">
        <f>HotelSales[[#This Row],[Stay_Nights]]*HotelSales[[#This Row],[Room_Rate]]</f>
        <v>119000</v>
      </c>
      <c r="M140">
        <v>13000</v>
      </c>
      <c r="N140">
        <f>HotelSales[[#This Row],[Room_Revenue]]+HotelSales[[#This Row],[Restaurant_Spend]]</f>
        <v>132000</v>
      </c>
      <c r="O140" t="s">
        <v>787</v>
      </c>
    </row>
    <row r="141" spans="1:15">
      <c r="A141" t="s">
        <v>151</v>
      </c>
      <c r="B141" t="s">
        <v>624</v>
      </c>
      <c r="C141" s="2">
        <v>45748.595995370371</v>
      </c>
      <c r="D141" s="1">
        <v>45756.595995370371</v>
      </c>
      <c r="E141" s="1">
        <v>45757.595995370371</v>
      </c>
      <c r="F141">
        <f>HotelSales[[#This Row],[Check_Out]]-HotelSales[[#This Row],[Check_In]]</f>
        <v>1</v>
      </c>
      <c r="G141" t="s">
        <v>775</v>
      </c>
      <c r="H141" t="s">
        <v>778</v>
      </c>
      <c r="I141" t="s">
        <v>780</v>
      </c>
      <c r="J141">
        <v>4</v>
      </c>
      <c r="K141">
        <v>13000</v>
      </c>
      <c r="L141">
        <f>HotelSales[[#This Row],[Stay_Nights]]*HotelSales[[#This Row],[Room_Rate]]</f>
        <v>13000</v>
      </c>
      <c r="M141">
        <v>10000</v>
      </c>
      <c r="N141">
        <f>HotelSales[[#This Row],[Room_Revenue]]+HotelSales[[#This Row],[Restaurant_Spend]]</f>
        <v>23000</v>
      </c>
      <c r="O141" t="s">
        <v>784</v>
      </c>
    </row>
    <row r="142" spans="1:15">
      <c r="A142" t="s">
        <v>152</v>
      </c>
      <c r="B142" t="s">
        <v>625</v>
      </c>
      <c r="C142" s="2">
        <v>45749.255543981482</v>
      </c>
      <c r="D142" s="1">
        <v>45776.255543981482</v>
      </c>
      <c r="E142" s="1">
        <v>45779.255543981482</v>
      </c>
      <c r="F142">
        <f>HotelSales[[#This Row],[Check_Out]]-HotelSales[[#This Row],[Check_In]]</f>
        <v>3</v>
      </c>
      <c r="G142" t="s">
        <v>775</v>
      </c>
      <c r="H142" t="s">
        <v>778</v>
      </c>
      <c r="I142" t="s">
        <v>779</v>
      </c>
      <c r="J142">
        <v>4</v>
      </c>
      <c r="K142">
        <v>11000</v>
      </c>
      <c r="L142">
        <f>HotelSales[[#This Row],[Stay_Nights]]*HotelSales[[#This Row],[Room_Rate]]</f>
        <v>33000</v>
      </c>
      <c r="M142">
        <v>10000</v>
      </c>
      <c r="N142">
        <f>HotelSales[[#This Row],[Room_Revenue]]+HotelSales[[#This Row],[Restaurant_Spend]]</f>
        <v>43000</v>
      </c>
      <c r="O142" t="s">
        <v>783</v>
      </c>
    </row>
    <row r="143" spans="1:15">
      <c r="A143" t="s">
        <v>153</v>
      </c>
      <c r="B143" t="s">
        <v>626</v>
      </c>
      <c r="C143" s="2">
        <v>45749.48228009259</v>
      </c>
      <c r="D143" s="1">
        <v>45775.48228009259</v>
      </c>
      <c r="E143" s="1">
        <v>45777.48228009259</v>
      </c>
      <c r="F143">
        <f>HotelSales[[#This Row],[Check_Out]]-HotelSales[[#This Row],[Check_In]]</f>
        <v>2</v>
      </c>
      <c r="G143" t="s">
        <v>775</v>
      </c>
      <c r="H143" t="s">
        <v>778</v>
      </c>
      <c r="I143" t="s">
        <v>780</v>
      </c>
      <c r="J143">
        <v>1</v>
      </c>
      <c r="K143">
        <v>11000</v>
      </c>
      <c r="L143">
        <f>HotelSales[[#This Row],[Stay_Nights]]*HotelSales[[#This Row],[Room_Rate]]</f>
        <v>22000</v>
      </c>
      <c r="M143">
        <v>7000</v>
      </c>
      <c r="N143">
        <f>HotelSales[[#This Row],[Room_Revenue]]+HotelSales[[#This Row],[Restaurant_Spend]]</f>
        <v>29000</v>
      </c>
      <c r="O143" t="s">
        <v>784</v>
      </c>
    </row>
    <row r="144" spans="1:15">
      <c r="A144" t="s">
        <v>154</v>
      </c>
      <c r="B144" t="s">
        <v>627</v>
      </c>
      <c r="C144" s="2">
        <v>45750.60974537037</v>
      </c>
      <c r="D144" s="1">
        <v>45759.60974537037</v>
      </c>
      <c r="E144" s="1">
        <v>45762.60974537037</v>
      </c>
      <c r="F144">
        <f>HotelSales[[#This Row],[Check_Out]]-HotelSales[[#This Row],[Check_In]]</f>
        <v>3</v>
      </c>
      <c r="G144" t="s">
        <v>776</v>
      </c>
      <c r="H144" t="s">
        <v>778</v>
      </c>
      <c r="I144" t="s">
        <v>780</v>
      </c>
      <c r="J144">
        <v>1</v>
      </c>
      <c r="K144">
        <v>17000</v>
      </c>
      <c r="L144">
        <f>HotelSales[[#This Row],[Stay_Nights]]*HotelSales[[#This Row],[Room_Rate]]</f>
        <v>51000</v>
      </c>
      <c r="M144">
        <v>10500</v>
      </c>
      <c r="N144">
        <f>HotelSales[[#This Row],[Room_Revenue]]+HotelSales[[#This Row],[Restaurant_Spend]]</f>
        <v>61500</v>
      </c>
      <c r="O144" t="s">
        <v>785</v>
      </c>
    </row>
    <row r="145" spans="1:15">
      <c r="A145" t="s">
        <v>155</v>
      </c>
      <c r="B145" t="s">
        <v>628</v>
      </c>
      <c r="C145" s="2">
        <v>45751.554664351846</v>
      </c>
      <c r="D145" s="1">
        <v>45781.554664351846</v>
      </c>
      <c r="E145" s="1">
        <v>45786.554664351846</v>
      </c>
      <c r="F145">
        <f>HotelSales[[#This Row],[Check_Out]]-HotelSales[[#This Row],[Check_In]]</f>
        <v>5</v>
      </c>
      <c r="G145" t="s">
        <v>775</v>
      </c>
      <c r="H145" t="s">
        <v>777</v>
      </c>
      <c r="I145" t="s">
        <v>781</v>
      </c>
      <c r="J145">
        <v>1</v>
      </c>
      <c r="K145">
        <v>11000</v>
      </c>
      <c r="L145">
        <f>HotelSales[[#This Row],[Stay_Nights]]*HotelSales[[#This Row],[Room_Rate]]</f>
        <v>55000</v>
      </c>
      <c r="M145">
        <v>8000</v>
      </c>
      <c r="N145">
        <f>HotelSales[[#This Row],[Room_Revenue]]+HotelSales[[#This Row],[Restaurant_Spend]]</f>
        <v>63000</v>
      </c>
      <c r="O145" t="s">
        <v>787</v>
      </c>
    </row>
    <row r="146" spans="1:15">
      <c r="A146" t="s">
        <v>156</v>
      </c>
      <c r="B146" t="s">
        <v>629</v>
      </c>
      <c r="C146" s="2">
        <v>45753.30878472222</v>
      </c>
      <c r="D146" s="1">
        <v>45775.30878472222</v>
      </c>
      <c r="E146" s="1">
        <v>45782.30878472222</v>
      </c>
      <c r="F146">
        <f>HotelSales[[#This Row],[Check_Out]]-HotelSales[[#This Row],[Check_In]]</f>
        <v>7</v>
      </c>
      <c r="G146" t="s">
        <v>775</v>
      </c>
      <c r="H146" t="s">
        <v>778</v>
      </c>
      <c r="I146" t="s">
        <v>781</v>
      </c>
      <c r="J146">
        <v>1</v>
      </c>
      <c r="K146">
        <v>11000</v>
      </c>
      <c r="L146">
        <f>HotelSales[[#This Row],[Stay_Nights]]*HotelSales[[#This Row],[Room_Rate]]</f>
        <v>77000</v>
      </c>
      <c r="M146">
        <v>6000</v>
      </c>
      <c r="N146">
        <f>HotelSales[[#This Row],[Room_Revenue]]+HotelSales[[#This Row],[Restaurant_Spend]]</f>
        <v>83000</v>
      </c>
      <c r="O146" t="s">
        <v>783</v>
      </c>
    </row>
    <row r="147" spans="1:15">
      <c r="A147" t="s">
        <v>157</v>
      </c>
      <c r="B147" t="s">
        <v>630</v>
      </c>
      <c r="C147" s="2">
        <v>45753.460092592592</v>
      </c>
      <c r="D147" s="1">
        <v>45780.460092592592</v>
      </c>
      <c r="E147" s="1">
        <v>45785.460092592592</v>
      </c>
      <c r="F147">
        <f>HotelSales[[#This Row],[Check_Out]]-HotelSales[[#This Row],[Check_In]]</f>
        <v>5</v>
      </c>
      <c r="G147" t="s">
        <v>775</v>
      </c>
      <c r="H147" t="s">
        <v>778</v>
      </c>
      <c r="I147" t="s">
        <v>779</v>
      </c>
      <c r="J147">
        <v>4</v>
      </c>
      <c r="K147">
        <v>11000</v>
      </c>
      <c r="L147">
        <f>HotelSales[[#This Row],[Stay_Nights]]*HotelSales[[#This Row],[Room_Rate]]</f>
        <v>55000</v>
      </c>
      <c r="M147">
        <v>1500</v>
      </c>
      <c r="N147">
        <f>HotelSales[[#This Row],[Room_Revenue]]+HotelSales[[#This Row],[Restaurant_Spend]]</f>
        <v>56500</v>
      </c>
      <c r="O147" t="s">
        <v>786</v>
      </c>
    </row>
    <row r="148" spans="1:15">
      <c r="A148" t="s">
        <v>158</v>
      </c>
      <c r="B148" t="s">
        <v>605</v>
      </c>
      <c r="C148" s="2">
        <v>45753.750474537039</v>
      </c>
      <c r="D148" s="1">
        <v>45766.750474537039</v>
      </c>
      <c r="E148" s="1">
        <v>45768.750474537039</v>
      </c>
      <c r="F148">
        <f>HotelSales[[#This Row],[Check_Out]]-HotelSales[[#This Row],[Check_In]]</f>
        <v>2</v>
      </c>
      <c r="G148" t="s">
        <v>775</v>
      </c>
      <c r="H148" t="s">
        <v>777</v>
      </c>
      <c r="I148" t="s">
        <v>780</v>
      </c>
      <c r="J148">
        <v>4</v>
      </c>
      <c r="K148">
        <v>11000</v>
      </c>
      <c r="L148">
        <f>HotelSales[[#This Row],[Stay_Nights]]*HotelSales[[#This Row],[Room_Rate]]</f>
        <v>22000</v>
      </c>
      <c r="M148">
        <v>9000</v>
      </c>
      <c r="N148">
        <f>HotelSales[[#This Row],[Room_Revenue]]+HotelSales[[#This Row],[Restaurant_Spend]]</f>
        <v>31000</v>
      </c>
      <c r="O148" t="s">
        <v>787</v>
      </c>
    </row>
    <row r="149" spans="1:15">
      <c r="A149" t="s">
        <v>159</v>
      </c>
      <c r="B149" t="s">
        <v>631</v>
      </c>
      <c r="C149" s="2">
        <v>45754.242939814823</v>
      </c>
      <c r="D149" s="1">
        <v>45760.242939814823</v>
      </c>
      <c r="E149" s="1">
        <v>45765.242939814823</v>
      </c>
      <c r="F149">
        <f>HotelSales[[#This Row],[Check_Out]]-HotelSales[[#This Row],[Check_In]]</f>
        <v>5</v>
      </c>
      <c r="G149" t="s">
        <v>774</v>
      </c>
      <c r="H149" t="s">
        <v>778</v>
      </c>
      <c r="I149" t="s">
        <v>781</v>
      </c>
      <c r="J149">
        <v>4</v>
      </c>
      <c r="K149">
        <v>30000</v>
      </c>
      <c r="L149">
        <f>HotelSales[[#This Row],[Stay_Nights]]*HotelSales[[#This Row],[Room_Rate]]</f>
        <v>150000</v>
      </c>
      <c r="M149">
        <v>7000</v>
      </c>
      <c r="N149">
        <f>HotelSales[[#This Row],[Room_Revenue]]+HotelSales[[#This Row],[Restaurant_Spend]]</f>
        <v>157000</v>
      </c>
      <c r="O149" t="s">
        <v>785</v>
      </c>
    </row>
    <row r="150" spans="1:15">
      <c r="A150" t="s">
        <v>160</v>
      </c>
      <c r="B150" t="s">
        <v>616</v>
      </c>
      <c r="C150" s="2">
        <v>45755.400439814817</v>
      </c>
      <c r="D150" s="1">
        <v>45784.400439814817</v>
      </c>
      <c r="E150" s="1">
        <v>45785.400439814817</v>
      </c>
      <c r="F150">
        <f>HotelSales[[#This Row],[Check_Out]]-HotelSales[[#This Row],[Check_In]]</f>
        <v>1</v>
      </c>
      <c r="G150" t="s">
        <v>775</v>
      </c>
      <c r="H150" t="s">
        <v>777</v>
      </c>
      <c r="I150" t="s">
        <v>779</v>
      </c>
      <c r="J150">
        <v>1</v>
      </c>
      <c r="K150">
        <v>12000</v>
      </c>
      <c r="L150">
        <f>HotelSales[[#This Row],[Stay_Nights]]*HotelSales[[#This Row],[Room_Rate]]</f>
        <v>12000</v>
      </c>
      <c r="M150">
        <v>7000</v>
      </c>
      <c r="N150">
        <f>HotelSales[[#This Row],[Room_Revenue]]+HotelSales[[#This Row],[Restaurant_Spend]]</f>
        <v>19000</v>
      </c>
      <c r="O150" t="s">
        <v>782</v>
      </c>
    </row>
    <row r="151" spans="1:15">
      <c r="A151" t="s">
        <v>161</v>
      </c>
      <c r="B151" t="s">
        <v>632</v>
      </c>
      <c r="C151" s="2">
        <v>45755.853715277779</v>
      </c>
      <c r="D151" s="1">
        <v>45779.853715277779</v>
      </c>
      <c r="E151" s="1">
        <v>45785.853715277779</v>
      </c>
      <c r="F151">
        <f>HotelSales[[#This Row],[Check_Out]]-HotelSales[[#This Row],[Check_In]]</f>
        <v>6</v>
      </c>
      <c r="G151" t="s">
        <v>774</v>
      </c>
      <c r="H151" t="s">
        <v>777</v>
      </c>
      <c r="I151" t="s">
        <v>780</v>
      </c>
      <c r="J151">
        <v>3</v>
      </c>
      <c r="K151">
        <v>31000</v>
      </c>
      <c r="L151">
        <f>HotelSales[[#This Row],[Stay_Nights]]*HotelSales[[#This Row],[Room_Rate]]</f>
        <v>186000</v>
      </c>
      <c r="M151">
        <v>12000</v>
      </c>
      <c r="N151">
        <f>HotelSales[[#This Row],[Room_Revenue]]+HotelSales[[#This Row],[Restaurant_Spend]]</f>
        <v>198000</v>
      </c>
      <c r="O151" t="s">
        <v>783</v>
      </c>
    </row>
    <row r="152" spans="1:15">
      <c r="A152" t="s">
        <v>162</v>
      </c>
      <c r="B152" t="s">
        <v>633</v>
      </c>
      <c r="C152" s="2">
        <v>45756.153622685182</v>
      </c>
      <c r="D152" s="1">
        <v>45774.153622685182</v>
      </c>
      <c r="E152" s="1">
        <v>45780.153622685182</v>
      </c>
      <c r="F152">
        <f>HotelSales[[#This Row],[Check_Out]]-HotelSales[[#This Row],[Check_In]]</f>
        <v>6</v>
      </c>
      <c r="G152" t="s">
        <v>776</v>
      </c>
      <c r="H152" t="s">
        <v>778</v>
      </c>
      <c r="I152" t="s">
        <v>781</v>
      </c>
      <c r="J152">
        <v>4</v>
      </c>
      <c r="K152">
        <v>19000</v>
      </c>
      <c r="L152">
        <f>HotelSales[[#This Row],[Stay_Nights]]*HotelSales[[#This Row],[Room_Rate]]</f>
        <v>114000</v>
      </c>
      <c r="M152">
        <v>3000</v>
      </c>
      <c r="N152">
        <f>HotelSales[[#This Row],[Room_Revenue]]+HotelSales[[#This Row],[Restaurant_Spend]]</f>
        <v>117000</v>
      </c>
      <c r="O152" t="s">
        <v>785</v>
      </c>
    </row>
    <row r="153" spans="1:15">
      <c r="A153" t="s">
        <v>163</v>
      </c>
      <c r="B153" t="s">
        <v>634</v>
      </c>
      <c r="C153" s="2">
        <v>45756.396111111113</v>
      </c>
      <c r="D153" s="1">
        <v>45760.396111111113</v>
      </c>
      <c r="E153" s="1">
        <v>45765.396111111113</v>
      </c>
      <c r="F153">
        <f>HotelSales[[#This Row],[Check_Out]]-HotelSales[[#This Row],[Check_In]]</f>
        <v>5</v>
      </c>
      <c r="G153" t="s">
        <v>776</v>
      </c>
      <c r="H153" t="s">
        <v>778</v>
      </c>
      <c r="I153" t="s">
        <v>780</v>
      </c>
      <c r="J153">
        <v>4</v>
      </c>
      <c r="K153">
        <v>19000</v>
      </c>
      <c r="L153">
        <f>HotelSales[[#This Row],[Stay_Nights]]*HotelSales[[#This Row],[Room_Rate]]</f>
        <v>95000</v>
      </c>
      <c r="M153">
        <v>2500</v>
      </c>
      <c r="N153">
        <f>HotelSales[[#This Row],[Room_Revenue]]+HotelSales[[#This Row],[Restaurant_Spend]]</f>
        <v>97500</v>
      </c>
      <c r="O153" t="s">
        <v>784</v>
      </c>
    </row>
    <row r="154" spans="1:15">
      <c r="A154" t="s">
        <v>164</v>
      </c>
      <c r="B154" t="s">
        <v>635</v>
      </c>
      <c r="C154" s="2">
        <v>45758.621180555558</v>
      </c>
      <c r="D154" s="1">
        <v>45785.621180555558</v>
      </c>
      <c r="E154" s="1">
        <v>45788.621180555558</v>
      </c>
      <c r="F154">
        <f>HotelSales[[#This Row],[Check_Out]]-HotelSales[[#This Row],[Check_In]]</f>
        <v>3</v>
      </c>
      <c r="G154" t="s">
        <v>775</v>
      </c>
      <c r="H154" t="s">
        <v>777</v>
      </c>
      <c r="I154" t="s">
        <v>781</v>
      </c>
      <c r="J154">
        <v>3</v>
      </c>
      <c r="K154">
        <v>11000</v>
      </c>
      <c r="L154">
        <f>HotelSales[[#This Row],[Stay_Nights]]*HotelSales[[#This Row],[Room_Rate]]</f>
        <v>33000</v>
      </c>
      <c r="M154">
        <v>7000</v>
      </c>
      <c r="N154">
        <f>HotelSales[[#This Row],[Room_Revenue]]+HotelSales[[#This Row],[Restaurant_Spend]]</f>
        <v>40000</v>
      </c>
      <c r="O154" t="s">
        <v>787</v>
      </c>
    </row>
    <row r="155" spans="1:15">
      <c r="A155" t="s">
        <v>165</v>
      </c>
      <c r="B155" t="s">
        <v>539</v>
      </c>
      <c r="C155" s="2">
        <v>45758.745763888888</v>
      </c>
      <c r="D155" s="1">
        <v>45770.745763888888</v>
      </c>
      <c r="E155" s="1">
        <v>45774.745763888888</v>
      </c>
      <c r="F155">
        <f>HotelSales[[#This Row],[Check_Out]]-HotelSales[[#This Row],[Check_In]]</f>
        <v>4</v>
      </c>
      <c r="G155" t="s">
        <v>775</v>
      </c>
      <c r="H155" t="s">
        <v>777</v>
      </c>
      <c r="I155" t="s">
        <v>780</v>
      </c>
      <c r="J155">
        <v>1</v>
      </c>
      <c r="K155">
        <v>13000</v>
      </c>
      <c r="L155">
        <f>HotelSales[[#This Row],[Stay_Nights]]*HotelSales[[#This Row],[Room_Rate]]</f>
        <v>52000</v>
      </c>
      <c r="M155">
        <v>6500</v>
      </c>
      <c r="N155">
        <f>HotelSales[[#This Row],[Room_Revenue]]+HotelSales[[#This Row],[Restaurant_Spend]]</f>
        <v>58500</v>
      </c>
      <c r="O155" t="s">
        <v>784</v>
      </c>
    </row>
    <row r="156" spans="1:15">
      <c r="A156" t="s">
        <v>166</v>
      </c>
      <c r="B156" t="s">
        <v>636</v>
      </c>
      <c r="C156" s="2">
        <v>45761.412557870368</v>
      </c>
      <c r="D156" s="1">
        <v>45788.412557870368</v>
      </c>
      <c r="E156" s="1">
        <v>45791.412557870368</v>
      </c>
      <c r="F156">
        <f>HotelSales[[#This Row],[Check_Out]]-HotelSales[[#This Row],[Check_In]]</f>
        <v>3</v>
      </c>
      <c r="G156" t="s">
        <v>775</v>
      </c>
      <c r="H156" t="s">
        <v>778</v>
      </c>
      <c r="I156" t="s">
        <v>780</v>
      </c>
      <c r="J156">
        <v>2</v>
      </c>
      <c r="K156">
        <v>11000</v>
      </c>
      <c r="L156">
        <f>HotelSales[[#This Row],[Stay_Nights]]*HotelSales[[#This Row],[Room_Rate]]</f>
        <v>33000</v>
      </c>
      <c r="M156">
        <v>9500</v>
      </c>
      <c r="N156">
        <f>HotelSales[[#This Row],[Room_Revenue]]+HotelSales[[#This Row],[Restaurant_Spend]]</f>
        <v>42500</v>
      </c>
      <c r="O156" t="s">
        <v>782</v>
      </c>
    </row>
    <row r="157" spans="1:15">
      <c r="A157" t="s">
        <v>167</v>
      </c>
      <c r="B157" t="s">
        <v>605</v>
      </c>
      <c r="C157" s="2">
        <v>45762.385104166657</v>
      </c>
      <c r="D157" s="1">
        <v>45774.385104166657</v>
      </c>
      <c r="E157" s="1">
        <v>45776.385104166657</v>
      </c>
      <c r="F157">
        <f>HotelSales[[#This Row],[Check_Out]]-HotelSales[[#This Row],[Check_In]]</f>
        <v>2</v>
      </c>
      <c r="G157" t="s">
        <v>775</v>
      </c>
      <c r="H157" t="s">
        <v>778</v>
      </c>
      <c r="I157" t="s">
        <v>780</v>
      </c>
      <c r="J157">
        <v>2</v>
      </c>
      <c r="K157">
        <v>13000</v>
      </c>
      <c r="L157">
        <f>HotelSales[[#This Row],[Stay_Nights]]*HotelSales[[#This Row],[Room_Rate]]</f>
        <v>26000</v>
      </c>
      <c r="M157">
        <v>7000</v>
      </c>
      <c r="N157">
        <f>HotelSales[[#This Row],[Room_Revenue]]+HotelSales[[#This Row],[Restaurant_Spend]]</f>
        <v>33000</v>
      </c>
      <c r="O157" t="s">
        <v>785</v>
      </c>
    </row>
    <row r="158" spans="1:15">
      <c r="A158" t="s">
        <v>168</v>
      </c>
      <c r="B158" t="s">
        <v>630</v>
      </c>
      <c r="C158" s="2">
        <v>45763.760208333333</v>
      </c>
      <c r="D158" s="1">
        <v>45787.760208333333</v>
      </c>
      <c r="E158" s="1">
        <v>45790.760208333333</v>
      </c>
      <c r="F158">
        <f>HotelSales[[#This Row],[Check_Out]]-HotelSales[[#This Row],[Check_In]]</f>
        <v>3</v>
      </c>
      <c r="G158" t="s">
        <v>775</v>
      </c>
      <c r="H158" t="s">
        <v>778</v>
      </c>
      <c r="I158" t="s">
        <v>780</v>
      </c>
      <c r="J158">
        <v>2</v>
      </c>
      <c r="K158">
        <v>13000</v>
      </c>
      <c r="L158">
        <f>HotelSales[[#This Row],[Stay_Nights]]*HotelSales[[#This Row],[Room_Rate]]</f>
        <v>39000</v>
      </c>
      <c r="M158">
        <v>9000</v>
      </c>
      <c r="N158">
        <f>HotelSales[[#This Row],[Room_Revenue]]+HotelSales[[#This Row],[Restaurant_Spend]]</f>
        <v>48000</v>
      </c>
      <c r="O158" t="s">
        <v>785</v>
      </c>
    </row>
    <row r="159" spans="1:15">
      <c r="A159" t="s">
        <v>169</v>
      </c>
      <c r="B159" t="s">
        <v>590</v>
      </c>
      <c r="C159" s="2">
        <v>45764.248553240737</v>
      </c>
      <c r="D159" s="1">
        <v>45768.248553240737</v>
      </c>
      <c r="E159" s="1">
        <v>45770.248553240737</v>
      </c>
      <c r="F159">
        <f>HotelSales[[#This Row],[Check_Out]]-HotelSales[[#This Row],[Check_In]]</f>
        <v>2</v>
      </c>
      <c r="G159" t="s">
        <v>776</v>
      </c>
      <c r="H159" t="s">
        <v>778</v>
      </c>
      <c r="I159" t="s">
        <v>781</v>
      </c>
      <c r="J159">
        <v>2</v>
      </c>
      <c r="K159">
        <v>17000</v>
      </c>
      <c r="L159">
        <f>HotelSales[[#This Row],[Stay_Nights]]*HotelSales[[#This Row],[Room_Rate]]</f>
        <v>34000</v>
      </c>
      <c r="M159">
        <v>11000</v>
      </c>
      <c r="N159">
        <f>HotelSales[[#This Row],[Room_Revenue]]+HotelSales[[#This Row],[Restaurant_Spend]]</f>
        <v>45000</v>
      </c>
      <c r="O159" t="s">
        <v>782</v>
      </c>
    </row>
    <row r="160" spans="1:15">
      <c r="A160" t="s">
        <v>170</v>
      </c>
      <c r="B160" t="s">
        <v>637</v>
      </c>
      <c r="C160" s="2">
        <v>45764.524756944447</v>
      </c>
      <c r="D160" s="1">
        <v>45780.524756944447</v>
      </c>
      <c r="E160" s="1">
        <v>45786.524756944447</v>
      </c>
      <c r="F160">
        <f>HotelSales[[#This Row],[Check_Out]]-HotelSales[[#This Row],[Check_In]]</f>
        <v>6</v>
      </c>
      <c r="G160" t="s">
        <v>775</v>
      </c>
      <c r="H160" t="s">
        <v>778</v>
      </c>
      <c r="I160" t="s">
        <v>780</v>
      </c>
      <c r="J160">
        <v>1</v>
      </c>
      <c r="K160">
        <v>12000</v>
      </c>
      <c r="L160">
        <f>HotelSales[[#This Row],[Stay_Nights]]*HotelSales[[#This Row],[Room_Rate]]</f>
        <v>72000</v>
      </c>
      <c r="M160">
        <v>6500</v>
      </c>
      <c r="N160">
        <f>HotelSales[[#This Row],[Room_Revenue]]+HotelSales[[#This Row],[Restaurant_Spend]]</f>
        <v>78500</v>
      </c>
      <c r="O160" t="s">
        <v>784</v>
      </c>
    </row>
    <row r="161" spans="1:15">
      <c r="A161" t="s">
        <v>171</v>
      </c>
      <c r="B161" t="s">
        <v>638</v>
      </c>
      <c r="C161" s="2">
        <v>45764.739988425928</v>
      </c>
      <c r="D161" s="1">
        <v>45769.739988425928</v>
      </c>
      <c r="E161" s="1">
        <v>45776.739988425928</v>
      </c>
      <c r="F161">
        <f>HotelSales[[#This Row],[Check_Out]]-HotelSales[[#This Row],[Check_In]]</f>
        <v>7</v>
      </c>
      <c r="G161" t="s">
        <v>776</v>
      </c>
      <c r="H161" t="s">
        <v>777</v>
      </c>
      <c r="I161" t="s">
        <v>779</v>
      </c>
      <c r="J161">
        <v>1</v>
      </c>
      <c r="K161">
        <v>19000</v>
      </c>
      <c r="L161">
        <f>HotelSales[[#This Row],[Stay_Nights]]*HotelSales[[#This Row],[Room_Rate]]</f>
        <v>133000</v>
      </c>
      <c r="M161">
        <v>12000</v>
      </c>
      <c r="N161">
        <f>HotelSales[[#This Row],[Room_Revenue]]+HotelSales[[#This Row],[Restaurant_Spend]]</f>
        <v>145000</v>
      </c>
      <c r="O161" t="s">
        <v>783</v>
      </c>
    </row>
    <row r="162" spans="1:15">
      <c r="A162" t="s">
        <v>172</v>
      </c>
      <c r="B162" t="s">
        <v>639</v>
      </c>
      <c r="C162" s="2">
        <v>45765.02275462963</v>
      </c>
      <c r="D162" s="1">
        <v>45777.02275462963</v>
      </c>
      <c r="E162" s="1">
        <v>45778.02275462963</v>
      </c>
      <c r="F162">
        <f>HotelSales[[#This Row],[Check_Out]]-HotelSales[[#This Row],[Check_In]]</f>
        <v>1</v>
      </c>
      <c r="G162" t="s">
        <v>776</v>
      </c>
      <c r="H162" t="s">
        <v>778</v>
      </c>
      <c r="I162" t="s">
        <v>781</v>
      </c>
      <c r="J162">
        <v>1</v>
      </c>
      <c r="K162">
        <v>19000</v>
      </c>
      <c r="L162">
        <f>HotelSales[[#This Row],[Stay_Nights]]*HotelSales[[#This Row],[Room_Rate]]</f>
        <v>19000</v>
      </c>
      <c r="M162">
        <v>8500</v>
      </c>
      <c r="N162">
        <f>HotelSales[[#This Row],[Room_Revenue]]+HotelSales[[#This Row],[Restaurant_Spend]]</f>
        <v>27500</v>
      </c>
      <c r="O162" t="s">
        <v>787</v>
      </c>
    </row>
    <row r="163" spans="1:15">
      <c r="A163" t="s">
        <v>173</v>
      </c>
      <c r="B163" t="s">
        <v>640</v>
      </c>
      <c r="C163" s="2">
        <v>45765.710266203707</v>
      </c>
      <c r="D163" s="1">
        <v>45792.710266203707</v>
      </c>
      <c r="E163" s="1">
        <v>45794.710266203707</v>
      </c>
      <c r="F163">
        <f>HotelSales[[#This Row],[Check_Out]]-HotelSales[[#This Row],[Check_In]]</f>
        <v>2</v>
      </c>
      <c r="G163" t="s">
        <v>775</v>
      </c>
      <c r="H163" t="s">
        <v>778</v>
      </c>
      <c r="I163" t="s">
        <v>780</v>
      </c>
      <c r="J163">
        <v>1</v>
      </c>
      <c r="K163">
        <v>12000</v>
      </c>
      <c r="L163">
        <f>HotelSales[[#This Row],[Stay_Nights]]*HotelSales[[#This Row],[Room_Rate]]</f>
        <v>24000</v>
      </c>
      <c r="M163">
        <v>10500</v>
      </c>
      <c r="N163">
        <f>HotelSales[[#This Row],[Room_Revenue]]+HotelSales[[#This Row],[Restaurant_Spend]]</f>
        <v>34500</v>
      </c>
      <c r="O163" t="s">
        <v>782</v>
      </c>
    </row>
    <row r="164" spans="1:15">
      <c r="A164" t="s">
        <v>174</v>
      </c>
      <c r="B164" t="s">
        <v>594</v>
      </c>
      <c r="C164" s="2">
        <v>45766.993784722217</v>
      </c>
      <c r="D164" s="1">
        <v>45781.993784722217</v>
      </c>
      <c r="E164" s="1">
        <v>45782.993784722217</v>
      </c>
      <c r="F164">
        <f>HotelSales[[#This Row],[Check_Out]]-HotelSales[[#This Row],[Check_In]]</f>
        <v>1</v>
      </c>
      <c r="G164" t="s">
        <v>775</v>
      </c>
      <c r="H164" t="s">
        <v>778</v>
      </c>
      <c r="I164" t="s">
        <v>780</v>
      </c>
      <c r="J164">
        <v>3</v>
      </c>
      <c r="K164">
        <v>12000</v>
      </c>
      <c r="L164">
        <f>HotelSales[[#This Row],[Stay_Nights]]*HotelSales[[#This Row],[Room_Rate]]</f>
        <v>12000</v>
      </c>
      <c r="M164">
        <v>7500</v>
      </c>
      <c r="N164">
        <f>HotelSales[[#This Row],[Room_Revenue]]+HotelSales[[#This Row],[Restaurant_Spend]]</f>
        <v>19500</v>
      </c>
      <c r="O164" t="s">
        <v>782</v>
      </c>
    </row>
    <row r="165" spans="1:15">
      <c r="A165" t="s">
        <v>175</v>
      </c>
      <c r="B165" t="s">
        <v>641</v>
      </c>
      <c r="C165" s="2">
        <v>45768.592546296299</v>
      </c>
      <c r="D165" s="1">
        <v>45797.592546296299</v>
      </c>
      <c r="E165" s="1">
        <v>45803.592546296299</v>
      </c>
      <c r="F165">
        <f>HotelSales[[#This Row],[Check_Out]]-HotelSales[[#This Row],[Check_In]]</f>
        <v>6</v>
      </c>
      <c r="G165" t="s">
        <v>775</v>
      </c>
      <c r="H165" t="s">
        <v>777</v>
      </c>
      <c r="I165" t="s">
        <v>780</v>
      </c>
      <c r="J165">
        <v>3</v>
      </c>
      <c r="K165">
        <v>12000</v>
      </c>
      <c r="L165">
        <f>HotelSales[[#This Row],[Stay_Nights]]*HotelSales[[#This Row],[Room_Rate]]</f>
        <v>72000</v>
      </c>
      <c r="M165">
        <v>2500</v>
      </c>
      <c r="N165">
        <f>HotelSales[[#This Row],[Room_Revenue]]+HotelSales[[#This Row],[Restaurant_Spend]]</f>
        <v>74500</v>
      </c>
      <c r="O165" t="s">
        <v>783</v>
      </c>
    </row>
    <row r="166" spans="1:15">
      <c r="A166" t="s">
        <v>176</v>
      </c>
      <c r="B166" t="s">
        <v>642</v>
      </c>
      <c r="C166" s="2">
        <v>45768.993067129632</v>
      </c>
      <c r="D166" s="1">
        <v>45783.993067129632</v>
      </c>
      <c r="E166" s="1">
        <v>45784.993067129632</v>
      </c>
      <c r="F166">
        <f>HotelSales[[#This Row],[Check_Out]]-HotelSales[[#This Row],[Check_In]]</f>
        <v>1</v>
      </c>
      <c r="G166" t="s">
        <v>776</v>
      </c>
      <c r="H166" t="s">
        <v>777</v>
      </c>
      <c r="I166" t="s">
        <v>781</v>
      </c>
      <c r="J166">
        <v>1</v>
      </c>
      <c r="K166">
        <v>19000</v>
      </c>
      <c r="L166">
        <f>HotelSales[[#This Row],[Stay_Nights]]*HotelSales[[#This Row],[Room_Rate]]</f>
        <v>19000</v>
      </c>
      <c r="M166">
        <v>4500</v>
      </c>
      <c r="N166">
        <f>HotelSales[[#This Row],[Room_Revenue]]+HotelSales[[#This Row],[Restaurant_Spend]]</f>
        <v>23500</v>
      </c>
      <c r="O166" t="s">
        <v>787</v>
      </c>
    </row>
    <row r="167" spans="1:15">
      <c r="A167" t="s">
        <v>177</v>
      </c>
      <c r="B167" t="s">
        <v>643</v>
      </c>
      <c r="C167" s="2">
        <v>45770.299780092602</v>
      </c>
      <c r="D167" s="1">
        <v>45780.299780092602</v>
      </c>
      <c r="E167" s="1">
        <v>45787.299780092602</v>
      </c>
      <c r="F167">
        <f>HotelSales[[#This Row],[Check_Out]]-HotelSales[[#This Row],[Check_In]]</f>
        <v>7</v>
      </c>
      <c r="G167" t="s">
        <v>776</v>
      </c>
      <c r="H167" t="s">
        <v>778</v>
      </c>
      <c r="I167" t="s">
        <v>780</v>
      </c>
      <c r="J167">
        <v>2</v>
      </c>
      <c r="K167">
        <v>19000</v>
      </c>
      <c r="L167">
        <f>HotelSales[[#This Row],[Stay_Nights]]*HotelSales[[#This Row],[Room_Rate]]</f>
        <v>133000</v>
      </c>
      <c r="M167">
        <v>5500</v>
      </c>
      <c r="N167">
        <f>HotelSales[[#This Row],[Room_Revenue]]+HotelSales[[#This Row],[Restaurant_Spend]]</f>
        <v>138500</v>
      </c>
      <c r="O167" t="s">
        <v>783</v>
      </c>
    </row>
    <row r="168" spans="1:15">
      <c r="A168" t="s">
        <v>178</v>
      </c>
      <c r="B168" t="s">
        <v>540</v>
      </c>
      <c r="C168" s="2">
        <v>45770.572800925933</v>
      </c>
      <c r="D168" s="1">
        <v>45776.572800925933</v>
      </c>
      <c r="E168" s="1">
        <v>45782.572800925933</v>
      </c>
      <c r="F168">
        <f>HotelSales[[#This Row],[Check_Out]]-HotelSales[[#This Row],[Check_In]]</f>
        <v>6</v>
      </c>
      <c r="G168" t="s">
        <v>776</v>
      </c>
      <c r="H168" t="s">
        <v>778</v>
      </c>
      <c r="I168" t="s">
        <v>779</v>
      </c>
      <c r="J168">
        <v>2</v>
      </c>
      <c r="K168">
        <v>17000</v>
      </c>
      <c r="L168">
        <f>HotelSales[[#This Row],[Stay_Nights]]*HotelSales[[#This Row],[Room_Rate]]</f>
        <v>102000</v>
      </c>
      <c r="M168">
        <v>9000</v>
      </c>
      <c r="N168">
        <f>HotelSales[[#This Row],[Room_Revenue]]+HotelSales[[#This Row],[Restaurant_Spend]]</f>
        <v>111000</v>
      </c>
      <c r="O168" t="s">
        <v>787</v>
      </c>
    </row>
    <row r="169" spans="1:15">
      <c r="A169" t="s">
        <v>179</v>
      </c>
      <c r="B169" t="s">
        <v>644</v>
      </c>
      <c r="C169" s="2">
        <v>45771.546342592592</v>
      </c>
      <c r="D169" s="1">
        <v>45785.546342592592</v>
      </c>
      <c r="E169" s="1">
        <v>45788.546342592592</v>
      </c>
      <c r="F169">
        <f>HotelSales[[#This Row],[Check_Out]]-HotelSales[[#This Row],[Check_In]]</f>
        <v>3</v>
      </c>
      <c r="G169" t="s">
        <v>776</v>
      </c>
      <c r="H169" t="s">
        <v>777</v>
      </c>
      <c r="I169" t="s">
        <v>779</v>
      </c>
      <c r="J169">
        <v>4</v>
      </c>
      <c r="K169">
        <v>18000</v>
      </c>
      <c r="L169">
        <f>HotelSales[[#This Row],[Stay_Nights]]*HotelSales[[#This Row],[Room_Rate]]</f>
        <v>54000</v>
      </c>
      <c r="M169">
        <v>10500</v>
      </c>
      <c r="N169">
        <f>HotelSales[[#This Row],[Room_Revenue]]+HotelSales[[#This Row],[Restaurant_Spend]]</f>
        <v>64500</v>
      </c>
      <c r="O169" t="s">
        <v>786</v>
      </c>
    </row>
    <row r="170" spans="1:15">
      <c r="A170" t="s">
        <v>180</v>
      </c>
      <c r="B170" t="s">
        <v>635</v>
      </c>
      <c r="C170" s="2">
        <v>45771.589687500003</v>
      </c>
      <c r="D170" s="1">
        <v>45778.589687500003</v>
      </c>
      <c r="E170" s="1">
        <v>45781.589687500003</v>
      </c>
      <c r="F170">
        <f>HotelSales[[#This Row],[Check_Out]]-HotelSales[[#This Row],[Check_In]]</f>
        <v>3</v>
      </c>
      <c r="G170" t="s">
        <v>774</v>
      </c>
      <c r="H170" t="s">
        <v>778</v>
      </c>
      <c r="I170" t="s">
        <v>780</v>
      </c>
      <c r="J170">
        <v>3</v>
      </c>
      <c r="K170">
        <v>30000</v>
      </c>
      <c r="L170">
        <f>HotelSales[[#This Row],[Stay_Nights]]*HotelSales[[#This Row],[Room_Rate]]</f>
        <v>90000</v>
      </c>
      <c r="M170">
        <v>5500</v>
      </c>
      <c r="N170">
        <f>HotelSales[[#This Row],[Room_Revenue]]+HotelSales[[#This Row],[Restaurant_Spend]]</f>
        <v>95500</v>
      </c>
      <c r="O170" t="s">
        <v>785</v>
      </c>
    </row>
    <row r="171" spans="1:15">
      <c r="A171" t="s">
        <v>181</v>
      </c>
      <c r="B171" t="s">
        <v>526</v>
      </c>
      <c r="C171" s="2">
        <v>45771.636099537027</v>
      </c>
      <c r="D171" s="1">
        <v>45777.636099537027</v>
      </c>
      <c r="E171" s="1">
        <v>45782.636099537027</v>
      </c>
      <c r="F171">
        <f>HotelSales[[#This Row],[Check_Out]]-HotelSales[[#This Row],[Check_In]]</f>
        <v>5</v>
      </c>
      <c r="G171" t="s">
        <v>775</v>
      </c>
      <c r="H171" t="s">
        <v>778</v>
      </c>
      <c r="I171" t="s">
        <v>781</v>
      </c>
      <c r="J171">
        <v>3</v>
      </c>
      <c r="K171">
        <v>11000</v>
      </c>
      <c r="L171">
        <f>HotelSales[[#This Row],[Stay_Nights]]*HotelSales[[#This Row],[Room_Rate]]</f>
        <v>55000</v>
      </c>
      <c r="M171">
        <v>5500</v>
      </c>
      <c r="N171">
        <f>HotelSales[[#This Row],[Room_Revenue]]+HotelSales[[#This Row],[Restaurant_Spend]]</f>
        <v>60500</v>
      </c>
      <c r="O171" t="s">
        <v>785</v>
      </c>
    </row>
    <row r="172" spans="1:15">
      <c r="A172" t="s">
        <v>182</v>
      </c>
      <c r="B172" t="s">
        <v>645</v>
      </c>
      <c r="C172" s="2">
        <v>45772.840185185189</v>
      </c>
      <c r="D172" s="1">
        <v>45790.840185185189</v>
      </c>
      <c r="E172" s="1">
        <v>45792.840185185189</v>
      </c>
      <c r="F172">
        <f>HotelSales[[#This Row],[Check_Out]]-HotelSales[[#This Row],[Check_In]]</f>
        <v>2</v>
      </c>
      <c r="G172" t="s">
        <v>775</v>
      </c>
      <c r="H172" t="s">
        <v>777</v>
      </c>
      <c r="I172" t="s">
        <v>781</v>
      </c>
      <c r="J172">
        <v>1</v>
      </c>
      <c r="K172">
        <v>12000</v>
      </c>
      <c r="L172">
        <f>HotelSales[[#This Row],[Stay_Nights]]*HotelSales[[#This Row],[Room_Rate]]</f>
        <v>24000</v>
      </c>
      <c r="M172">
        <v>3500</v>
      </c>
      <c r="N172">
        <f>HotelSales[[#This Row],[Room_Revenue]]+HotelSales[[#This Row],[Restaurant_Spend]]</f>
        <v>27500</v>
      </c>
      <c r="O172" t="s">
        <v>782</v>
      </c>
    </row>
    <row r="173" spans="1:15">
      <c r="A173" t="s">
        <v>183</v>
      </c>
      <c r="B173" t="s">
        <v>646</v>
      </c>
      <c r="C173" s="2">
        <v>45773.79351851852</v>
      </c>
      <c r="D173" s="1">
        <v>45794.79351851852</v>
      </c>
      <c r="E173" s="1">
        <v>45801.79351851852</v>
      </c>
      <c r="F173">
        <f>HotelSales[[#This Row],[Check_Out]]-HotelSales[[#This Row],[Check_In]]</f>
        <v>7</v>
      </c>
      <c r="G173" t="s">
        <v>776</v>
      </c>
      <c r="H173" t="s">
        <v>778</v>
      </c>
      <c r="I173" t="s">
        <v>780</v>
      </c>
      <c r="J173">
        <v>4</v>
      </c>
      <c r="K173">
        <v>18000</v>
      </c>
      <c r="L173">
        <f>HotelSales[[#This Row],[Stay_Nights]]*HotelSales[[#This Row],[Room_Rate]]</f>
        <v>126000</v>
      </c>
      <c r="M173">
        <v>4000</v>
      </c>
      <c r="N173">
        <f>HotelSales[[#This Row],[Room_Revenue]]+HotelSales[[#This Row],[Restaurant_Spend]]</f>
        <v>130000</v>
      </c>
      <c r="O173" t="s">
        <v>785</v>
      </c>
    </row>
    <row r="174" spans="1:15">
      <c r="A174" t="s">
        <v>184</v>
      </c>
      <c r="B174" t="s">
        <v>647</v>
      </c>
      <c r="C174" s="2">
        <v>45774.670671296299</v>
      </c>
      <c r="D174" s="1">
        <v>45793.670671296299</v>
      </c>
      <c r="E174" s="1">
        <v>45796.670671296299</v>
      </c>
      <c r="F174">
        <f>HotelSales[[#This Row],[Check_Out]]-HotelSales[[#This Row],[Check_In]]</f>
        <v>3</v>
      </c>
      <c r="G174" t="s">
        <v>776</v>
      </c>
      <c r="H174" t="s">
        <v>777</v>
      </c>
      <c r="I174" t="s">
        <v>781</v>
      </c>
      <c r="J174">
        <v>1</v>
      </c>
      <c r="K174">
        <v>18000</v>
      </c>
      <c r="L174">
        <f>HotelSales[[#This Row],[Stay_Nights]]*HotelSales[[#This Row],[Room_Rate]]</f>
        <v>54000</v>
      </c>
      <c r="M174">
        <v>3500</v>
      </c>
      <c r="N174">
        <f>HotelSales[[#This Row],[Room_Revenue]]+HotelSales[[#This Row],[Restaurant_Spend]]</f>
        <v>57500</v>
      </c>
      <c r="O174" t="s">
        <v>787</v>
      </c>
    </row>
    <row r="175" spans="1:15">
      <c r="A175" t="s">
        <v>185</v>
      </c>
      <c r="B175" t="s">
        <v>648</v>
      </c>
      <c r="C175" s="2">
        <v>45775.071284722217</v>
      </c>
      <c r="D175" s="1">
        <v>45787.071284722217</v>
      </c>
      <c r="E175" s="1">
        <v>45789.071284722217</v>
      </c>
      <c r="F175">
        <f>HotelSales[[#This Row],[Check_Out]]-HotelSales[[#This Row],[Check_In]]</f>
        <v>2</v>
      </c>
      <c r="G175" t="s">
        <v>775</v>
      </c>
      <c r="H175" t="s">
        <v>778</v>
      </c>
      <c r="I175" t="s">
        <v>779</v>
      </c>
      <c r="J175">
        <v>3</v>
      </c>
      <c r="K175">
        <v>13000</v>
      </c>
      <c r="L175">
        <f>HotelSales[[#This Row],[Stay_Nights]]*HotelSales[[#This Row],[Room_Rate]]</f>
        <v>26000</v>
      </c>
      <c r="M175">
        <v>11000</v>
      </c>
      <c r="N175">
        <f>HotelSales[[#This Row],[Room_Revenue]]+HotelSales[[#This Row],[Restaurant_Spend]]</f>
        <v>37000</v>
      </c>
      <c r="O175" t="s">
        <v>782</v>
      </c>
    </row>
    <row r="176" spans="1:15">
      <c r="A176" t="s">
        <v>186</v>
      </c>
      <c r="B176" t="s">
        <v>596</v>
      </c>
      <c r="C176" s="2">
        <v>45775.537314814806</v>
      </c>
      <c r="D176" s="1">
        <v>45784.537314814806</v>
      </c>
      <c r="E176" s="1">
        <v>45790.537314814806</v>
      </c>
      <c r="F176">
        <f>HotelSales[[#This Row],[Check_Out]]-HotelSales[[#This Row],[Check_In]]</f>
        <v>6</v>
      </c>
      <c r="G176" t="s">
        <v>776</v>
      </c>
      <c r="H176" t="s">
        <v>778</v>
      </c>
      <c r="I176" t="s">
        <v>779</v>
      </c>
      <c r="J176">
        <v>2</v>
      </c>
      <c r="K176">
        <v>18000</v>
      </c>
      <c r="L176">
        <f>HotelSales[[#This Row],[Stay_Nights]]*HotelSales[[#This Row],[Room_Rate]]</f>
        <v>108000</v>
      </c>
      <c r="M176">
        <v>6500</v>
      </c>
      <c r="N176">
        <f>HotelSales[[#This Row],[Room_Revenue]]+HotelSales[[#This Row],[Restaurant_Spend]]</f>
        <v>114500</v>
      </c>
      <c r="O176" t="s">
        <v>783</v>
      </c>
    </row>
    <row r="177" spans="1:15">
      <c r="A177" t="s">
        <v>187</v>
      </c>
      <c r="B177" t="s">
        <v>649</v>
      </c>
      <c r="C177" s="2">
        <v>45775.648275462961</v>
      </c>
      <c r="D177" s="1">
        <v>45802.648275462961</v>
      </c>
      <c r="E177" s="1">
        <v>45805.648275462961</v>
      </c>
      <c r="F177">
        <f>HotelSales[[#This Row],[Check_Out]]-HotelSales[[#This Row],[Check_In]]</f>
        <v>3</v>
      </c>
      <c r="G177" t="s">
        <v>776</v>
      </c>
      <c r="H177" t="s">
        <v>778</v>
      </c>
      <c r="I177" t="s">
        <v>780</v>
      </c>
      <c r="J177">
        <v>1</v>
      </c>
      <c r="K177">
        <v>18000</v>
      </c>
      <c r="L177">
        <f>HotelSales[[#This Row],[Stay_Nights]]*HotelSales[[#This Row],[Room_Rate]]</f>
        <v>54000</v>
      </c>
      <c r="M177">
        <v>10500</v>
      </c>
      <c r="N177">
        <f>HotelSales[[#This Row],[Room_Revenue]]+HotelSales[[#This Row],[Restaurant_Spend]]</f>
        <v>64500</v>
      </c>
      <c r="O177" t="s">
        <v>783</v>
      </c>
    </row>
    <row r="178" spans="1:15">
      <c r="A178" t="s">
        <v>188</v>
      </c>
      <c r="B178" t="s">
        <v>566</v>
      </c>
      <c r="C178" s="2">
        <v>45776.006458333337</v>
      </c>
      <c r="D178" s="1">
        <v>45799.006458333337</v>
      </c>
      <c r="E178" s="1">
        <v>45803.006458333337</v>
      </c>
      <c r="F178">
        <f>HotelSales[[#This Row],[Check_Out]]-HotelSales[[#This Row],[Check_In]]</f>
        <v>4</v>
      </c>
      <c r="G178" t="s">
        <v>774</v>
      </c>
      <c r="H178" t="s">
        <v>778</v>
      </c>
      <c r="I178" t="s">
        <v>781</v>
      </c>
      <c r="J178">
        <v>3</v>
      </c>
      <c r="K178">
        <v>31000</v>
      </c>
      <c r="L178">
        <f>HotelSales[[#This Row],[Stay_Nights]]*HotelSales[[#This Row],[Room_Rate]]</f>
        <v>124000</v>
      </c>
      <c r="M178">
        <v>3500</v>
      </c>
      <c r="N178">
        <f>HotelSales[[#This Row],[Room_Revenue]]+HotelSales[[#This Row],[Restaurant_Spend]]</f>
        <v>127500</v>
      </c>
      <c r="O178" t="s">
        <v>784</v>
      </c>
    </row>
    <row r="179" spans="1:15">
      <c r="A179" t="s">
        <v>189</v>
      </c>
      <c r="B179" t="s">
        <v>650</v>
      </c>
      <c r="C179" s="2">
        <v>45776.038182870368</v>
      </c>
      <c r="D179" s="1">
        <v>45793.038182870368</v>
      </c>
      <c r="E179" s="1">
        <v>45796.038182870368</v>
      </c>
      <c r="F179">
        <f>HotelSales[[#This Row],[Check_Out]]-HotelSales[[#This Row],[Check_In]]</f>
        <v>3</v>
      </c>
      <c r="G179" t="s">
        <v>775</v>
      </c>
      <c r="H179" t="s">
        <v>778</v>
      </c>
      <c r="I179" t="s">
        <v>781</v>
      </c>
      <c r="J179">
        <v>2</v>
      </c>
      <c r="K179">
        <v>12000</v>
      </c>
      <c r="L179">
        <f>HotelSales[[#This Row],[Stay_Nights]]*HotelSales[[#This Row],[Room_Rate]]</f>
        <v>36000</v>
      </c>
      <c r="M179">
        <v>9500</v>
      </c>
      <c r="N179">
        <f>HotelSales[[#This Row],[Room_Revenue]]+HotelSales[[#This Row],[Restaurant_Spend]]</f>
        <v>45500</v>
      </c>
      <c r="O179" t="s">
        <v>787</v>
      </c>
    </row>
    <row r="180" spans="1:15">
      <c r="A180" t="s">
        <v>190</v>
      </c>
      <c r="B180" t="s">
        <v>642</v>
      </c>
      <c r="C180" s="2">
        <v>45776.867546296293</v>
      </c>
      <c r="D180" s="1">
        <v>45805.867546296293</v>
      </c>
      <c r="E180" s="1">
        <v>45811.867546296293</v>
      </c>
      <c r="F180">
        <f>HotelSales[[#This Row],[Check_Out]]-HotelSales[[#This Row],[Check_In]]</f>
        <v>6</v>
      </c>
      <c r="G180" t="s">
        <v>774</v>
      </c>
      <c r="H180" t="s">
        <v>778</v>
      </c>
      <c r="I180" t="s">
        <v>780</v>
      </c>
      <c r="J180">
        <v>4</v>
      </c>
      <c r="K180">
        <v>30000</v>
      </c>
      <c r="L180">
        <f>HotelSales[[#This Row],[Stay_Nights]]*HotelSales[[#This Row],[Room_Rate]]</f>
        <v>180000</v>
      </c>
      <c r="M180">
        <v>3000</v>
      </c>
      <c r="N180">
        <f>HotelSales[[#This Row],[Room_Revenue]]+HotelSales[[#This Row],[Restaurant_Spend]]</f>
        <v>183000</v>
      </c>
      <c r="O180" t="s">
        <v>783</v>
      </c>
    </row>
    <row r="181" spans="1:15">
      <c r="A181" t="s">
        <v>191</v>
      </c>
      <c r="B181" t="s">
        <v>651</v>
      </c>
      <c r="C181" s="2">
        <v>45777.454340277778</v>
      </c>
      <c r="D181" s="1">
        <v>45786.454340277778</v>
      </c>
      <c r="E181" s="1">
        <v>45789.454340277778</v>
      </c>
      <c r="F181">
        <f>HotelSales[[#This Row],[Check_Out]]-HotelSales[[#This Row],[Check_In]]</f>
        <v>3</v>
      </c>
      <c r="G181" t="s">
        <v>775</v>
      </c>
      <c r="H181" t="s">
        <v>777</v>
      </c>
      <c r="I181" t="s">
        <v>780</v>
      </c>
      <c r="J181">
        <v>2</v>
      </c>
      <c r="K181">
        <v>11000</v>
      </c>
      <c r="L181">
        <f>HotelSales[[#This Row],[Stay_Nights]]*HotelSales[[#This Row],[Room_Rate]]</f>
        <v>33000</v>
      </c>
      <c r="M181">
        <v>500</v>
      </c>
      <c r="N181">
        <f>HotelSales[[#This Row],[Room_Revenue]]+HotelSales[[#This Row],[Restaurant_Spend]]</f>
        <v>33500</v>
      </c>
      <c r="O181" t="s">
        <v>785</v>
      </c>
    </row>
    <row r="182" spans="1:15">
      <c r="A182" t="s">
        <v>192</v>
      </c>
      <c r="B182" t="s">
        <v>652</v>
      </c>
      <c r="C182" s="2">
        <v>45777.90525462963</v>
      </c>
      <c r="D182" s="1">
        <v>45787.90525462963</v>
      </c>
      <c r="E182" s="1">
        <v>45793.90525462963</v>
      </c>
      <c r="F182">
        <f>HotelSales[[#This Row],[Check_Out]]-HotelSales[[#This Row],[Check_In]]</f>
        <v>6</v>
      </c>
      <c r="G182" t="s">
        <v>775</v>
      </c>
      <c r="H182" t="s">
        <v>778</v>
      </c>
      <c r="I182" t="s">
        <v>780</v>
      </c>
      <c r="J182">
        <v>3</v>
      </c>
      <c r="K182">
        <v>12000</v>
      </c>
      <c r="L182">
        <f>HotelSales[[#This Row],[Stay_Nights]]*HotelSales[[#This Row],[Room_Rate]]</f>
        <v>72000</v>
      </c>
      <c r="M182">
        <v>10000</v>
      </c>
      <c r="N182">
        <f>HotelSales[[#This Row],[Room_Revenue]]+HotelSales[[#This Row],[Restaurant_Spend]]</f>
        <v>82000</v>
      </c>
      <c r="O182" t="s">
        <v>782</v>
      </c>
    </row>
    <row r="183" spans="1:15">
      <c r="A183" t="s">
        <v>193</v>
      </c>
      <c r="B183" t="s">
        <v>653</v>
      </c>
      <c r="C183" s="2">
        <v>45778.249988425923</v>
      </c>
      <c r="D183" s="1">
        <v>45802.249988425923</v>
      </c>
      <c r="E183" s="1">
        <v>45804.249988425923</v>
      </c>
      <c r="F183">
        <f>HotelSales[[#This Row],[Check_Out]]-HotelSales[[#This Row],[Check_In]]</f>
        <v>2</v>
      </c>
      <c r="G183" t="s">
        <v>775</v>
      </c>
      <c r="H183" t="s">
        <v>778</v>
      </c>
      <c r="I183" t="s">
        <v>780</v>
      </c>
      <c r="J183">
        <v>2</v>
      </c>
      <c r="K183">
        <v>13000</v>
      </c>
      <c r="L183">
        <f>HotelSales[[#This Row],[Stay_Nights]]*HotelSales[[#This Row],[Room_Rate]]</f>
        <v>26000</v>
      </c>
      <c r="M183">
        <v>5000</v>
      </c>
      <c r="N183">
        <f>HotelSales[[#This Row],[Room_Revenue]]+HotelSales[[#This Row],[Restaurant_Spend]]</f>
        <v>31000</v>
      </c>
      <c r="O183" t="s">
        <v>787</v>
      </c>
    </row>
    <row r="184" spans="1:15">
      <c r="A184" t="s">
        <v>194</v>
      </c>
      <c r="B184" t="s">
        <v>622</v>
      </c>
      <c r="C184" s="2">
        <v>45779.141377314823</v>
      </c>
      <c r="D184" s="1">
        <v>45788.141377314823</v>
      </c>
      <c r="E184" s="1">
        <v>45793.141377314823</v>
      </c>
      <c r="F184">
        <f>HotelSales[[#This Row],[Check_Out]]-HotelSales[[#This Row],[Check_In]]</f>
        <v>5</v>
      </c>
      <c r="G184" t="s">
        <v>776</v>
      </c>
      <c r="H184" t="s">
        <v>778</v>
      </c>
      <c r="I184" t="s">
        <v>780</v>
      </c>
      <c r="J184">
        <v>1</v>
      </c>
      <c r="K184">
        <v>19000</v>
      </c>
      <c r="L184">
        <f>HotelSales[[#This Row],[Stay_Nights]]*HotelSales[[#This Row],[Room_Rate]]</f>
        <v>95000</v>
      </c>
      <c r="M184">
        <v>9500</v>
      </c>
      <c r="N184">
        <f>HotelSales[[#This Row],[Room_Revenue]]+HotelSales[[#This Row],[Restaurant_Spend]]</f>
        <v>104500</v>
      </c>
      <c r="O184" t="s">
        <v>785</v>
      </c>
    </row>
    <row r="185" spans="1:15">
      <c r="A185" t="s">
        <v>195</v>
      </c>
      <c r="B185" t="s">
        <v>654</v>
      </c>
      <c r="C185" s="2">
        <v>45779.815289351849</v>
      </c>
      <c r="D185" s="1">
        <v>45794.815289351849</v>
      </c>
      <c r="E185" s="1">
        <v>45795.815289351849</v>
      </c>
      <c r="F185">
        <f>HotelSales[[#This Row],[Check_Out]]-HotelSales[[#This Row],[Check_In]]</f>
        <v>1</v>
      </c>
      <c r="G185" t="s">
        <v>776</v>
      </c>
      <c r="H185" t="s">
        <v>778</v>
      </c>
      <c r="I185" t="s">
        <v>781</v>
      </c>
      <c r="J185">
        <v>3</v>
      </c>
      <c r="K185">
        <v>18000</v>
      </c>
      <c r="L185">
        <f>HotelSales[[#This Row],[Stay_Nights]]*HotelSales[[#This Row],[Room_Rate]]</f>
        <v>18000</v>
      </c>
      <c r="M185">
        <v>12500</v>
      </c>
      <c r="N185">
        <f>HotelSales[[#This Row],[Room_Revenue]]+HotelSales[[#This Row],[Restaurant_Spend]]</f>
        <v>30500</v>
      </c>
      <c r="O185" t="s">
        <v>786</v>
      </c>
    </row>
    <row r="186" spans="1:15">
      <c r="A186" t="s">
        <v>196</v>
      </c>
      <c r="B186" t="s">
        <v>655</v>
      </c>
      <c r="C186" s="2">
        <v>45780.820335648154</v>
      </c>
      <c r="D186" s="1">
        <v>45808.820335648154</v>
      </c>
      <c r="E186" s="1">
        <v>45812.820335648154</v>
      </c>
      <c r="F186">
        <f>HotelSales[[#This Row],[Check_Out]]-HotelSales[[#This Row],[Check_In]]</f>
        <v>4</v>
      </c>
      <c r="G186" t="s">
        <v>775</v>
      </c>
      <c r="H186" t="s">
        <v>777</v>
      </c>
      <c r="I186" t="s">
        <v>780</v>
      </c>
      <c r="J186">
        <v>3</v>
      </c>
      <c r="K186">
        <v>12000</v>
      </c>
      <c r="L186">
        <f>HotelSales[[#This Row],[Stay_Nights]]*HotelSales[[#This Row],[Room_Rate]]</f>
        <v>48000</v>
      </c>
      <c r="M186">
        <v>2000</v>
      </c>
      <c r="N186">
        <f>HotelSales[[#This Row],[Room_Revenue]]+HotelSales[[#This Row],[Restaurant_Spend]]</f>
        <v>50000</v>
      </c>
      <c r="O186" t="s">
        <v>783</v>
      </c>
    </row>
    <row r="187" spans="1:15">
      <c r="A187" t="s">
        <v>197</v>
      </c>
      <c r="B187" t="s">
        <v>655</v>
      </c>
      <c r="C187" s="2">
        <v>45780.884768518517</v>
      </c>
      <c r="D187" s="1">
        <v>45801.884768518517</v>
      </c>
      <c r="E187" s="1">
        <v>45804.884768518517</v>
      </c>
      <c r="F187">
        <f>HotelSales[[#This Row],[Check_Out]]-HotelSales[[#This Row],[Check_In]]</f>
        <v>3</v>
      </c>
      <c r="G187" t="s">
        <v>775</v>
      </c>
      <c r="H187" t="s">
        <v>778</v>
      </c>
      <c r="I187" t="s">
        <v>779</v>
      </c>
      <c r="J187">
        <v>1</v>
      </c>
      <c r="K187">
        <v>11000</v>
      </c>
      <c r="L187">
        <f>HotelSales[[#This Row],[Stay_Nights]]*HotelSales[[#This Row],[Room_Rate]]</f>
        <v>33000</v>
      </c>
      <c r="M187">
        <v>3500</v>
      </c>
      <c r="N187">
        <f>HotelSales[[#This Row],[Room_Revenue]]+HotelSales[[#This Row],[Restaurant_Spend]]</f>
        <v>36500</v>
      </c>
      <c r="O187" t="s">
        <v>786</v>
      </c>
    </row>
    <row r="188" spans="1:15">
      <c r="A188" t="s">
        <v>198</v>
      </c>
      <c r="B188" t="s">
        <v>656</v>
      </c>
      <c r="C188" s="2">
        <v>45781.174791666657</v>
      </c>
      <c r="D188" s="1">
        <v>45809.174791666657</v>
      </c>
      <c r="E188" s="1">
        <v>45811.174791666657</v>
      </c>
      <c r="F188">
        <f>HotelSales[[#This Row],[Check_Out]]-HotelSales[[#This Row],[Check_In]]</f>
        <v>2</v>
      </c>
      <c r="G188" t="s">
        <v>776</v>
      </c>
      <c r="H188" t="s">
        <v>778</v>
      </c>
      <c r="I188" t="s">
        <v>779</v>
      </c>
      <c r="J188">
        <v>2</v>
      </c>
      <c r="K188">
        <v>19000</v>
      </c>
      <c r="L188">
        <f>HotelSales[[#This Row],[Stay_Nights]]*HotelSales[[#This Row],[Room_Rate]]</f>
        <v>38000</v>
      </c>
      <c r="M188">
        <v>5000</v>
      </c>
      <c r="N188">
        <f>HotelSales[[#This Row],[Room_Revenue]]+HotelSales[[#This Row],[Restaurant_Spend]]</f>
        <v>43000</v>
      </c>
      <c r="O188" t="s">
        <v>782</v>
      </c>
    </row>
    <row r="189" spans="1:15">
      <c r="A189" t="s">
        <v>199</v>
      </c>
      <c r="B189" t="s">
        <v>657</v>
      </c>
      <c r="C189" s="2">
        <v>45783.098032407397</v>
      </c>
      <c r="D189" s="1">
        <v>45786.098032407397</v>
      </c>
      <c r="E189" s="1">
        <v>45789.098032407397</v>
      </c>
      <c r="F189">
        <f>HotelSales[[#This Row],[Check_Out]]-HotelSales[[#This Row],[Check_In]]</f>
        <v>3</v>
      </c>
      <c r="G189" t="s">
        <v>775</v>
      </c>
      <c r="H189" t="s">
        <v>778</v>
      </c>
      <c r="I189" t="s">
        <v>781</v>
      </c>
      <c r="J189">
        <v>4</v>
      </c>
      <c r="K189">
        <v>11000</v>
      </c>
      <c r="L189">
        <f>HotelSales[[#This Row],[Stay_Nights]]*HotelSales[[#This Row],[Room_Rate]]</f>
        <v>33000</v>
      </c>
      <c r="M189">
        <v>3500</v>
      </c>
      <c r="N189">
        <f>HotelSales[[#This Row],[Room_Revenue]]+HotelSales[[#This Row],[Restaurant_Spend]]</f>
        <v>36500</v>
      </c>
      <c r="O189" t="s">
        <v>782</v>
      </c>
    </row>
    <row r="190" spans="1:15">
      <c r="A190" t="s">
        <v>200</v>
      </c>
      <c r="B190" t="s">
        <v>594</v>
      </c>
      <c r="C190" s="2">
        <v>45783.854201388887</v>
      </c>
      <c r="D190" s="1">
        <v>45790.854201388887</v>
      </c>
      <c r="E190" s="1">
        <v>45792.854201388887</v>
      </c>
      <c r="F190">
        <f>HotelSales[[#This Row],[Check_Out]]-HotelSales[[#This Row],[Check_In]]</f>
        <v>2</v>
      </c>
      <c r="G190" t="s">
        <v>776</v>
      </c>
      <c r="H190" t="s">
        <v>778</v>
      </c>
      <c r="I190" t="s">
        <v>780</v>
      </c>
      <c r="J190">
        <v>3</v>
      </c>
      <c r="K190">
        <v>19000</v>
      </c>
      <c r="L190">
        <f>HotelSales[[#This Row],[Stay_Nights]]*HotelSales[[#This Row],[Room_Rate]]</f>
        <v>38000</v>
      </c>
      <c r="M190">
        <v>13000</v>
      </c>
      <c r="N190">
        <f>HotelSales[[#This Row],[Room_Revenue]]+HotelSales[[#This Row],[Restaurant_Spend]]</f>
        <v>51000</v>
      </c>
      <c r="O190" t="s">
        <v>784</v>
      </c>
    </row>
    <row r="191" spans="1:15">
      <c r="A191" t="s">
        <v>201</v>
      </c>
      <c r="B191" t="s">
        <v>634</v>
      </c>
      <c r="C191" s="2">
        <v>45784.035462962973</v>
      </c>
      <c r="D191" s="1">
        <v>45796.035462962973</v>
      </c>
      <c r="E191" s="1">
        <v>45800.035462962973</v>
      </c>
      <c r="F191">
        <f>HotelSales[[#This Row],[Check_Out]]-HotelSales[[#This Row],[Check_In]]</f>
        <v>4</v>
      </c>
      <c r="G191" t="s">
        <v>776</v>
      </c>
      <c r="H191" t="s">
        <v>778</v>
      </c>
      <c r="I191" t="s">
        <v>780</v>
      </c>
      <c r="J191">
        <v>3</v>
      </c>
      <c r="K191">
        <v>17000</v>
      </c>
      <c r="L191">
        <f>HotelSales[[#This Row],[Stay_Nights]]*HotelSales[[#This Row],[Room_Rate]]</f>
        <v>68000</v>
      </c>
      <c r="M191">
        <v>12000</v>
      </c>
      <c r="N191">
        <f>HotelSales[[#This Row],[Room_Revenue]]+HotelSales[[#This Row],[Restaurant_Spend]]</f>
        <v>80000</v>
      </c>
      <c r="O191" t="s">
        <v>783</v>
      </c>
    </row>
    <row r="192" spans="1:15">
      <c r="A192" t="s">
        <v>202</v>
      </c>
      <c r="B192" t="s">
        <v>658</v>
      </c>
      <c r="C192" s="2">
        <v>45784.426354166673</v>
      </c>
      <c r="D192" s="1">
        <v>45809.426354166673</v>
      </c>
      <c r="E192" s="1">
        <v>45815.426354166673</v>
      </c>
      <c r="F192">
        <f>HotelSales[[#This Row],[Check_Out]]-HotelSales[[#This Row],[Check_In]]</f>
        <v>6</v>
      </c>
      <c r="G192" t="s">
        <v>774</v>
      </c>
      <c r="H192" t="s">
        <v>778</v>
      </c>
      <c r="I192" t="s">
        <v>781</v>
      </c>
      <c r="J192">
        <v>2</v>
      </c>
      <c r="K192">
        <v>29000</v>
      </c>
      <c r="L192">
        <f>HotelSales[[#This Row],[Stay_Nights]]*HotelSales[[#This Row],[Room_Rate]]</f>
        <v>174000</v>
      </c>
      <c r="M192">
        <v>10000</v>
      </c>
      <c r="N192">
        <f>HotelSales[[#This Row],[Room_Revenue]]+HotelSales[[#This Row],[Restaurant_Spend]]</f>
        <v>184000</v>
      </c>
      <c r="O192" t="s">
        <v>783</v>
      </c>
    </row>
    <row r="193" spans="1:15">
      <c r="A193" t="s">
        <v>203</v>
      </c>
      <c r="B193" t="s">
        <v>522</v>
      </c>
      <c r="C193" s="2">
        <v>45785.162824074083</v>
      </c>
      <c r="D193" s="1">
        <v>45794.162824074083</v>
      </c>
      <c r="E193" s="1">
        <v>45797.162824074083</v>
      </c>
      <c r="F193">
        <f>HotelSales[[#This Row],[Check_Out]]-HotelSales[[#This Row],[Check_In]]</f>
        <v>3</v>
      </c>
      <c r="G193" t="s">
        <v>776</v>
      </c>
      <c r="H193" t="s">
        <v>778</v>
      </c>
      <c r="I193" t="s">
        <v>779</v>
      </c>
      <c r="J193">
        <v>4</v>
      </c>
      <c r="K193">
        <v>17000</v>
      </c>
      <c r="L193">
        <f>HotelSales[[#This Row],[Stay_Nights]]*HotelSales[[#This Row],[Room_Rate]]</f>
        <v>51000</v>
      </c>
      <c r="M193">
        <v>4500</v>
      </c>
      <c r="N193">
        <f>HotelSales[[#This Row],[Room_Revenue]]+HotelSales[[#This Row],[Restaurant_Spend]]</f>
        <v>55500</v>
      </c>
      <c r="O193" t="s">
        <v>784</v>
      </c>
    </row>
    <row r="194" spans="1:15">
      <c r="A194" t="s">
        <v>204</v>
      </c>
      <c r="B194" t="s">
        <v>650</v>
      </c>
      <c r="C194" s="2">
        <v>45786.081319444442</v>
      </c>
      <c r="D194" s="1">
        <v>45813.081319444442</v>
      </c>
      <c r="E194" s="1">
        <v>45819.081319444442</v>
      </c>
      <c r="F194">
        <f>HotelSales[[#This Row],[Check_Out]]-HotelSales[[#This Row],[Check_In]]</f>
        <v>6</v>
      </c>
      <c r="G194" t="s">
        <v>776</v>
      </c>
      <c r="H194" t="s">
        <v>777</v>
      </c>
      <c r="I194" t="s">
        <v>780</v>
      </c>
      <c r="J194">
        <v>1</v>
      </c>
      <c r="K194">
        <v>19000</v>
      </c>
      <c r="L194">
        <f>HotelSales[[#This Row],[Stay_Nights]]*HotelSales[[#This Row],[Room_Rate]]</f>
        <v>114000</v>
      </c>
      <c r="M194">
        <v>5000</v>
      </c>
      <c r="N194">
        <f>HotelSales[[#This Row],[Room_Revenue]]+HotelSales[[#This Row],[Restaurant_Spend]]</f>
        <v>119000</v>
      </c>
      <c r="O194" t="s">
        <v>784</v>
      </c>
    </row>
    <row r="195" spans="1:15">
      <c r="A195" t="s">
        <v>205</v>
      </c>
      <c r="B195" t="s">
        <v>659</v>
      </c>
      <c r="C195" s="2">
        <v>45786.457361111112</v>
      </c>
      <c r="D195" s="1">
        <v>45803.457361111112</v>
      </c>
      <c r="E195" s="1">
        <v>45806.457361111112</v>
      </c>
      <c r="F195">
        <f>HotelSales[[#This Row],[Check_Out]]-HotelSales[[#This Row],[Check_In]]</f>
        <v>3</v>
      </c>
      <c r="G195" t="s">
        <v>775</v>
      </c>
      <c r="H195" t="s">
        <v>777</v>
      </c>
      <c r="I195" t="s">
        <v>780</v>
      </c>
      <c r="J195">
        <v>2</v>
      </c>
      <c r="K195">
        <v>12000</v>
      </c>
      <c r="L195">
        <f>HotelSales[[#This Row],[Stay_Nights]]*HotelSales[[#This Row],[Room_Rate]]</f>
        <v>36000</v>
      </c>
      <c r="M195">
        <v>4500</v>
      </c>
      <c r="N195">
        <f>HotelSales[[#This Row],[Room_Revenue]]+HotelSales[[#This Row],[Restaurant_Spend]]</f>
        <v>40500</v>
      </c>
      <c r="O195" t="s">
        <v>783</v>
      </c>
    </row>
    <row r="196" spans="1:15">
      <c r="A196" t="s">
        <v>206</v>
      </c>
      <c r="B196" t="s">
        <v>660</v>
      </c>
      <c r="C196" s="2">
        <v>45786.459687499999</v>
      </c>
      <c r="D196" s="1">
        <v>45799.459687499999</v>
      </c>
      <c r="E196" s="1">
        <v>45804.459687499999</v>
      </c>
      <c r="F196">
        <f>HotelSales[[#This Row],[Check_Out]]-HotelSales[[#This Row],[Check_In]]</f>
        <v>5</v>
      </c>
      <c r="G196" t="s">
        <v>774</v>
      </c>
      <c r="H196" t="s">
        <v>777</v>
      </c>
      <c r="I196" t="s">
        <v>780</v>
      </c>
      <c r="J196">
        <v>1</v>
      </c>
      <c r="K196">
        <v>30000</v>
      </c>
      <c r="L196">
        <f>HotelSales[[#This Row],[Stay_Nights]]*HotelSales[[#This Row],[Room_Rate]]</f>
        <v>150000</v>
      </c>
      <c r="M196">
        <v>12000</v>
      </c>
      <c r="N196">
        <f>HotelSales[[#This Row],[Room_Revenue]]+HotelSales[[#This Row],[Restaurant_Spend]]</f>
        <v>162000</v>
      </c>
      <c r="O196" t="s">
        <v>785</v>
      </c>
    </row>
    <row r="197" spans="1:15">
      <c r="A197" t="s">
        <v>207</v>
      </c>
      <c r="B197" t="s">
        <v>661</v>
      </c>
      <c r="C197" s="2">
        <v>45786.999444444453</v>
      </c>
      <c r="D197" s="1">
        <v>45793.999444444453</v>
      </c>
      <c r="E197" s="1">
        <v>45797.999444444453</v>
      </c>
      <c r="F197">
        <f>HotelSales[[#This Row],[Check_Out]]-HotelSales[[#This Row],[Check_In]]</f>
        <v>4</v>
      </c>
      <c r="G197" t="s">
        <v>775</v>
      </c>
      <c r="H197" t="s">
        <v>778</v>
      </c>
      <c r="I197" t="s">
        <v>779</v>
      </c>
      <c r="J197">
        <v>1</v>
      </c>
      <c r="K197">
        <v>12000</v>
      </c>
      <c r="L197">
        <f>HotelSales[[#This Row],[Stay_Nights]]*HotelSales[[#This Row],[Room_Rate]]</f>
        <v>48000</v>
      </c>
      <c r="M197">
        <v>6500</v>
      </c>
      <c r="N197">
        <f>HotelSales[[#This Row],[Room_Revenue]]+HotelSales[[#This Row],[Restaurant_Spend]]</f>
        <v>54500</v>
      </c>
      <c r="O197" t="s">
        <v>782</v>
      </c>
    </row>
    <row r="198" spans="1:15">
      <c r="A198" t="s">
        <v>208</v>
      </c>
      <c r="B198" t="s">
        <v>662</v>
      </c>
      <c r="C198" s="2">
        <v>45787.066979166673</v>
      </c>
      <c r="D198" s="1">
        <v>45791.066979166673</v>
      </c>
      <c r="E198" s="1">
        <v>45792.066979166673</v>
      </c>
      <c r="F198">
        <f>HotelSales[[#This Row],[Check_Out]]-HotelSales[[#This Row],[Check_In]]</f>
        <v>1</v>
      </c>
      <c r="G198" t="s">
        <v>776</v>
      </c>
      <c r="H198" t="s">
        <v>778</v>
      </c>
      <c r="I198" t="s">
        <v>780</v>
      </c>
      <c r="J198">
        <v>1</v>
      </c>
      <c r="K198">
        <v>19000</v>
      </c>
      <c r="L198">
        <f>HotelSales[[#This Row],[Stay_Nights]]*HotelSales[[#This Row],[Room_Rate]]</f>
        <v>19000</v>
      </c>
      <c r="M198">
        <v>6500</v>
      </c>
      <c r="N198">
        <f>HotelSales[[#This Row],[Room_Revenue]]+HotelSales[[#This Row],[Restaurant_Spend]]</f>
        <v>25500</v>
      </c>
      <c r="O198" t="s">
        <v>782</v>
      </c>
    </row>
    <row r="199" spans="1:15">
      <c r="A199" t="s">
        <v>209</v>
      </c>
      <c r="B199" t="s">
        <v>663</v>
      </c>
      <c r="C199" s="2">
        <v>45787.088900462957</v>
      </c>
      <c r="D199" s="1">
        <v>45817.088900462957</v>
      </c>
      <c r="E199" s="1">
        <v>45818.088900462957</v>
      </c>
      <c r="F199">
        <f>HotelSales[[#This Row],[Check_Out]]-HotelSales[[#This Row],[Check_In]]</f>
        <v>1</v>
      </c>
      <c r="G199" t="s">
        <v>776</v>
      </c>
      <c r="H199" t="s">
        <v>778</v>
      </c>
      <c r="I199" t="s">
        <v>780</v>
      </c>
      <c r="J199">
        <v>3</v>
      </c>
      <c r="K199">
        <v>18000</v>
      </c>
      <c r="L199">
        <f>HotelSales[[#This Row],[Stay_Nights]]*HotelSales[[#This Row],[Room_Rate]]</f>
        <v>18000</v>
      </c>
      <c r="M199">
        <v>0</v>
      </c>
      <c r="N199">
        <f>HotelSales[[#This Row],[Room_Revenue]]+HotelSales[[#This Row],[Restaurant_Spend]]</f>
        <v>18000</v>
      </c>
      <c r="O199" t="s">
        <v>783</v>
      </c>
    </row>
    <row r="200" spans="1:15">
      <c r="A200" t="s">
        <v>210</v>
      </c>
      <c r="B200" t="s">
        <v>624</v>
      </c>
      <c r="C200" s="2">
        <v>45789.925532407397</v>
      </c>
      <c r="D200" s="1">
        <v>45803.925532407397</v>
      </c>
      <c r="E200" s="1">
        <v>45810.925532407397</v>
      </c>
      <c r="F200">
        <f>HotelSales[[#This Row],[Check_Out]]-HotelSales[[#This Row],[Check_In]]</f>
        <v>7</v>
      </c>
      <c r="G200" t="s">
        <v>775</v>
      </c>
      <c r="H200" t="s">
        <v>778</v>
      </c>
      <c r="I200" t="s">
        <v>780</v>
      </c>
      <c r="J200">
        <v>1</v>
      </c>
      <c r="K200">
        <v>11000</v>
      </c>
      <c r="L200">
        <f>HotelSales[[#This Row],[Stay_Nights]]*HotelSales[[#This Row],[Room_Rate]]</f>
        <v>77000</v>
      </c>
      <c r="M200">
        <v>0</v>
      </c>
      <c r="N200">
        <f>HotelSales[[#This Row],[Room_Revenue]]+HotelSales[[#This Row],[Restaurant_Spend]]</f>
        <v>77000</v>
      </c>
      <c r="O200" t="s">
        <v>782</v>
      </c>
    </row>
    <row r="201" spans="1:15">
      <c r="A201" t="s">
        <v>211</v>
      </c>
      <c r="B201" t="s">
        <v>664</v>
      </c>
      <c r="C201" s="2">
        <v>45790.256689814807</v>
      </c>
      <c r="D201" s="1">
        <v>45801.256689814807</v>
      </c>
      <c r="E201" s="1">
        <v>45804.256689814807</v>
      </c>
      <c r="F201">
        <f>HotelSales[[#This Row],[Check_Out]]-HotelSales[[#This Row],[Check_In]]</f>
        <v>3</v>
      </c>
      <c r="G201" t="s">
        <v>775</v>
      </c>
      <c r="H201" t="s">
        <v>778</v>
      </c>
      <c r="I201" t="s">
        <v>779</v>
      </c>
      <c r="J201">
        <v>1</v>
      </c>
      <c r="K201">
        <v>12000</v>
      </c>
      <c r="L201">
        <f>HotelSales[[#This Row],[Stay_Nights]]*HotelSales[[#This Row],[Room_Rate]]</f>
        <v>36000</v>
      </c>
      <c r="M201">
        <v>3500</v>
      </c>
      <c r="N201">
        <f>HotelSales[[#This Row],[Room_Revenue]]+HotelSales[[#This Row],[Restaurant_Spend]]</f>
        <v>39500</v>
      </c>
      <c r="O201" t="s">
        <v>782</v>
      </c>
    </row>
    <row r="202" spans="1:15">
      <c r="A202" t="s">
        <v>212</v>
      </c>
      <c r="B202" t="s">
        <v>583</v>
      </c>
      <c r="C202" s="2">
        <v>45791.707071759258</v>
      </c>
      <c r="D202" s="1">
        <v>45797.707071759258</v>
      </c>
      <c r="E202" s="1">
        <v>45800.707071759258</v>
      </c>
      <c r="F202">
        <f>HotelSales[[#This Row],[Check_Out]]-HotelSales[[#This Row],[Check_In]]</f>
        <v>3</v>
      </c>
      <c r="G202" t="s">
        <v>775</v>
      </c>
      <c r="H202" t="s">
        <v>778</v>
      </c>
      <c r="I202" t="s">
        <v>780</v>
      </c>
      <c r="J202">
        <v>4</v>
      </c>
      <c r="K202">
        <v>11000</v>
      </c>
      <c r="L202">
        <f>HotelSales[[#This Row],[Stay_Nights]]*HotelSales[[#This Row],[Room_Rate]]</f>
        <v>33000</v>
      </c>
      <c r="M202">
        <v>13500</v>
      </c>
      <c r="N202">
        <f>HotelSales[[#This Row],[Room_Revenue]]+HotelSales[[#This Row],[Restaurant_Spend]]</f>
        <v>46500</v>
      </c>
      <c r="O202" t="s">
        <v>782</v>
      </c>
    </row>
    <row r="203" spans="1:15">
      <c r="A203" t="s">
        <v>213</v>
      </c>
      <c r="B203" t="s">
        <v>665</v>
      </c>
      <c r="C203" s="2">
        <v>45792.54011574074</v>
      </c>
      <c r="D203" s="1">
        <v>45795.54011574074</v>
      </c>
      <c r="E203" s="1">
        <v>45797.54011574074</v>
      </c>
      <c r="F203">
        <f>HotelSales[[#This Row],[Check_Out]]-HotelSales[[#This Row],[Check_In]]</f>
        <v>2</v>
      </c>
      <c r="G203" t="s">
        <v>775</v>
      </c>
      <c r="H203" t="s">
        <v>778</v>
      </c>
      <c r="I203" t="s">
        <v>779</v>
      </c>
      <c r="J203">
        <v>1</v>
      </c>
      <c r="K203">
        <v>11000</v>
      </c>
      <c r="L203">
        <f>HotelSales[[#This Row],[Stay_Nights]]*HotelSales[[#This Row],[Room_Rate]]</f>
        <v>22000</v>
      </c>
      <c r="M203">
        <v>5500</v>
      </c>
      <c r="N203">
        <f>HotelSales[[#This Row],[Room_Revenue]]+HotelSales[[#This Row],[Restaurant_Spend]]</f>
        <v>27500</v>
      </c>
      <c r="O203" t="s">
        <v>783</v>
      </c>
    </row>
    <row r="204" spans="1:15">
      <c r="A204" t="s">
        <v>214</v>
      </c>
      <c r="B204" t="s">
        <v>666</v>
      </c>
      <c r="C204" s="2">
        <v>45793.237210648149</v>
      </c>
      <c r="D204" s="1">
        <v>45821.237210648149</v>
      </c>
      <c r="E204" s="1">
        <v>45824.237210648149</v>
      </c>
      <c r="F204">
        <f>HotelSales[[#This Row],[Check_Out]]-HotelSales[[#This Row],[Check_In]]</f>
        <v>3</v>
      </c>
      <c r="G204" t="s">
        <v>775</v>
      </c>
      <c r="H204" t="s">
        <v>777</v>
      </c>
      <c r="I204" t="s">
        <v>779</v>
      </c>
      <c r="J204">
        <v>4</v>
      </c>
      <c r="K204">
        <v>11000</v>
      </c>
      <c r="L204">
        <f>HotelSales[[#This Row],[Stay_Nights]]*HotelSales[[#This Row],[Room_Rate]]</f>
        <v>33000</v>
      </c>
      <c r="M204">
        <v>14500</v>
      </c>
      <c r="N204">
        <f>HotelSales[[#This Row],[Room_Revenue]]+HotelSales[[#This Row],[Restaurant_Spend]]</f>
        <v>47500</v>
      </c>
      <c r="O204" t="s">
        <v>784</v>
      </c>
    </row>
    <row r="205" spans="1:15">
      <c r="A205" t="s">
        <v>215</v>
      </c>
      <c r="B205" t="s">
        <v>599</v>
      </c>
      <c r="C205" s="2">
        <v>45793.495810185188</v>
      </c>
      <c r="D205" s="1">
        <v>45817.495810185188</v>
      </c>
      <c r="E205" s="1">
        <v>45824.495810185188</v>
      </c>
      <c r="F205">
        <f>HotelSales[[#This Row],[Check_Out]]-HotelSales[[#This Row],[Check_In]]</f>
        <v>7</v>
      </c>
      <c r="G205" t="s">
        <v>774</v>
      </c>
      <c r="H205" t="s">
        <v>778</v>
      </c>
      <c r="I205" t="s">
        <v>780</v>
      </c>
      <c r="J205">
        <v>4</v>
      </c>
      <c r="K205">
        <v>31000</v>
      </c>
      <c r="L205">
        <f>HotelSales[[#This Row],[Stay_Nights]]*HotelSales[[#This Row],[Room_Rate]]</f>
        <v>217000</v>
      </c>
      <c r="M205">
        <v>13500</v>
      </c>
      <c r="N205">
        <f>HotelSales[[#This Row],[Room_Revenue]]+HotelSales[[#This Row],[Restaurant_Spend]]</f>
        <v>230500</v>
      </c>
      <c r="O205" t="s">
        <v>783</v>
      </c>
    </row>
    <row r="206" spans="1:15">
      <c r="A206" t="s">
        <v>216</v>
      </c>
      <c r="B206" t="s">
        <v>667</v>
      </c>
      <c r="C206" s="2">
        <v>45793.653668981482</v>
      </c>
      <c r="D206" s="1">
        <v>45813.653668981482</v>
      </c>
      <c r="E206" s="1">
        <v>45819.653668981482</v>
      </c>
      <c r="F206">
        <f>HotelSales[[#This Row],[Check_Out]]-HotelSales[[#This Row],[Check_In]]</f>
        <v>6</v>
      </c>
      <c r="G206" t="s">
        <v>776</v>
      </c>
      <c r="H206" t="s">
        <v>777</v>
      </c>
      <c r="I206" t="s">
        <v>781</v>
      </c>
      <c r="J206">
        <v>4</v>
      </c>
      <c r="K206">
        <v>18000</v>
      </c>
      <c r="L206">
        <f>HotelSales[[#This Row],[Stay_Nights]]*HotelSales[[#This Row],[Room_Rate]]</f>
        <v>108000</v>
      </c>
      <c r="M206">
        <v>7000</v>
      </c>
      <c r="N206">
        <f>HotelSales[[#This Row],[Room_Revenue]]+HotelSales[[#This Row],[Restaurant_Spend]]</f>
        <v>115000</v>
      </c>
      <c r="O206" t="s">
        <v>782</v>
      </c>
    </row>
    <row r="207" spans="1:15">
      <c r="A207" t="s">
        <v>217</v>
      </c>
      <c r="B207" t="s">
        <v>668</v>
      </c>
      <c r="C207" s="2">
        <v>45794.968819444453</v>
      </c>
      <c r="D207" s="1">
        <v>45819.968819444453</v>
      </c>
      <c r="E207" s="1">
        <v>45820.968819444453</v>
      </c>
      <c r="F207">
        <f>HotelSales[[#This Row],[Check_Out]]-HotelSales[[#This Row],[Check_In]]</f>
        <v>1</v>
      </c>
      <c r="G207" t="s">
        <v>774</v>
      </c>
      <c r="H207" t="s">
        <v>777</v>
      </c>
      <c r="I207" t="s">
        <v>780</v>
      </c>
      <c r="J207">
        <v>2</v>
      </c>
      <c r="K207">
        <v>30000</v>
      </c>
      <c r="L207">
        <f>HotelSales[[#This Row],[Stay_Nights]]*HotelSales[[#This Row],[Room_Rate]]</f>
        <v>30000</v>
      </c>
      <c r="M207">
        <v>9500</v>
      </c>
      <c r="N207">
        <f>HotelSales[[#This Row],[Room_Revenue]]+HotelSales[[#This Row],[Restaurant_Spend]]</f>
        <v>39500</v>
      </c>
      <c r="O207" t="s">
        <v>786</v>
      </c>
    </row>
    <row r="208" spans="1:15">
      <c r="A208" t="s">
        <v>218</v>
      </c>
      <c r="B208" t="s">
        <v>669</v>
      </c>
      <c r="C208" s="2">
        <v>45795.245474537027</v>
      </c>
      <c r="D208" s="1">
        <v>45825.245474537027</v>
      </c>
      <c r="E208" s="1">
        <v>45830.245474537027</v>
      </c>
      <c r="F208">
        <f>HotelSales[[#This Row],[Check_Out]]-HotelSales[[#This Row],[Check_In]]</f>
        <v>5</v>
      </c>
      <c r="G208" t="s">
        <v>776</v>
      </c>
      <c r="H208" t="s">
        <v>777</v>
      </c>
      <c r="I208" t="s">
        <v>781</v>
      </c>
      <c r="J208">
        <v>2</v>
      </c>
      <c r="K208">
        <v>17000</v>
      </c>
      <c r="L208">
        <f>HotelSales[[#This Row],[Stay_Nights]]*HotelSales[[#This Row],[Room_Rate]]</f>
        <v>85000</v>
      </c>
      <c r="M208">
        <v>4500</v>
      </c>
      <c r="N208">
        <f>HotelSales[[#This Row],[Room_Revenue]]+HotelSales[[#This Row],[Restaurant_Spend]]</f>
        <v>89500</v>
      </c>
      <c r="O208" t="s">
        <v>782</v>
      </c>
    </row>
    <row r="209" spans="1:15">
      <c r="A209" t="s">
        <v>219</v>
      </c>
      <c r="B209" t="s">
        <v>554</v>
      </c>
      <c r="C209" s="2">
        <v>45795.450601851851</v>
      </c>
      <c r="D209" s="1">
        <v>45815.450601851851</v>
      </c>
      <c r="E209" s="1">
        <v>45817.450601851851</v>
      </c>
      <c r="F209">
        <f>HotelSales[[#This Row],[Check_Out]]-HotelSales[[#This Row],[Check_In]]</f>
        <v>2</v>
      </c>
      <c r="G209" t="s">
        <v>774</v>
      </c>
      <c r="H209" t="s">
        <v>777</v>
      </c>
      <c r="I209" t="s">
        <v>779</v>
      </c>
      <c r="J209">
        <v>4</v>
      </c>
      <c r="K209">
        <v>29000</v>
      </c>
      <c r="L209">
        <f>HotelSales[[#This Row],[Stay_Nights]]*HotelSales[[#This Row],[Room_Rate]]</f>
        <v>58000</v>
      </c>
      <c r="M209">
        <v>7500</v>
      </c>
      <c r="N209">
        <f>HotelSales[[#This Row],[Room_Revenue]]+HotelSales[[#This Row],[Restaurant_Spend]]</f>
        <v>65500</v>
      </c>
      <c r="O209" t="s">
        <v>782</v>
      </c>
    </row>
    <row r="210" spans="1:15">
      <c r="A210" t="s">
        <v>220</v>
      </c>
      <c r="B210" t="s">
        <v>670</v>
      </c>
      <c r="C210" s="2">
        <v>45795.614305555559</v>
      </c>
      <c r="D210" s="1">
        <v>45816.614305555559</v>
      </c>
      <c r="E210" s="1">
        <v>45820.614305555559</v>
      </c>
      <c r="F210">
        <f>HotelSales[[#This Row],[Check_Out]]-HotelSales[[#This Row],[Check_In]]</f>
        <v>4</v>
      </c>
      <c r="G210" t="s">
        <v>775</v>
      </c>
      <c r="H210" t="s">
        <v>777</v>
      </c>
      <c r="I210" t="s">
        <v>780</v>
      </c>
      <c r="J210">
        <v>2</v>
      </c>
      <c r="K210">
        <v>13000</v>
      </c>
      <c r="L210">
        <f>HotelSales[[#This Row],[Stay_Nights]]*HotelSales[[#This Row],[Room_Rate]]</f>
        <v>52000</v>
      </c>
      <c r="M210">
        <v>8500</v>
      </c>
      <c r="N210">
        <f>HotelSales[[#This Row],[Room_Revenue]]+HotelSales[[#This Row],[Restaurant_Spend]]</f>
        <v>60500</v>
      </c>
      <c r="O210" t="s">
        <v>785</v>
      </c>
    </row>
    <row r="211" spans="1:15">
      <c r="A211" t="s">
        <v>221</v>
      </c>
      <c r="B211" t="s">
        <v>524</v>
      </c>
      <c r="C211" s="2">
        <v>45798.79179398148</v>
      </c>
      <c r="D211" s="1">
        <v>45820.79179398148</v>
      </c>
      <c r="E211" s="1">
        <v>45823.79179398148</v>
      </c>
      <c r="F211">
        <f>HotelSales[[#This Row],[Check_Out]]-HotelSales[[#This Row],[Check_In]]</f>
        <v>3</v>
      </c>
      <c r="G211" t="s">
        <v>775</v>
      </c>
      <c r="H211" t="s">
        <v>778</v>
      </c>
      <c r="I211" t="s">
        <v>780</v>
      </c>
      <c r="J211">
        <v>2</v>
      </c>
      <c r="K211">
        <v>12000</v>
      </c>
      <c r="L211">
        <f>HotelSales[[#This Row],[Stay_Nights]]*HotelSales[[#This Row],[Room_Rate]]</f>
        <v>36000</v>
      </c>
      <c r="M211">
        <v>4500</v>
      </c>
      <c r="N211">
        <f>HotelSales[[#This Row],[Room_Revenue]]+HotelSales[[#This Row],[Restaurant_Spend]]</f>
        <v>40500</v>
      </c>
      <c r="O211" t="s">
        <v>786</v>
      </c>
    </row>
    <row r="212" spans="1:15">
      <c r="A212" t="s">
        <v>222</v>
      </c>
      <c r="B212" t="s">
        <v>657</v>
      </c>
      <c r="C212" s="2">
        <v>45799.635428240741</v>
      </c>
      <c r="D212" s="1">
        <v>45811.635428240741</v>
      </c>
      <c r="E212" s="1">
        <v>45816.635428240741</v>
      </c>
      <c r="F212">
        <f>HotelSales[[#This Row],[Check_Out]]-HotelSales[[#This Row],[Check_In]]</f>
        <v>5</v>
      </c>
      <c r="G212" t="s">
        <v>775</v>
      </c>
      <c r="H212" t="s">
        <v>777</v>
      </c>
      <c r="I212" t="s">
        <v>781</v>
      </c>
      <c r="J212">
        <v>4</v>
      </c>
      <c r="K212">
        <v>11000</v>
      </c>
      <c r="L212">
        <f>HotelSales[[#This Row],[Stay_Nights]]*HotelSales[[#This Row],[Room_Rate]]</f>
        <v>55000</v>
      </c>
      <c r="M212">
        <v>7500</v>
      </c>
      <c r="N212">
        <f>HotelSales[[#This Row],[Room_Revenue]]+HotelSales[[#This Row],[Restaurant_Spend]]</f>
        <v>62500</v>
      </c>
      <c r="O212" t="s">
        <v>786</v>
      </c>
    </row>
    <row r="213" spans="1:15">
      <c r="A213" t="s">
        <v>223</v>
      </c>
      <c r="B213" t="s">
        <v>671</v>
      </c>
      <c r="C213" s="2">
        <v>45799.701689814807</v>
      </c>
      <c r="D213" s="1">
        <v>45820.701689814807</v>
      </c>
      <c r="E213" s="1">
        <v>45824.701689814807</v>
      </c>
      <c r="F213">
        <f>HotelSales[[#This Row],[Check_Out]]-HotelSales[[#This Row],[Check_In]]</f>
        <v>4</v>
      </c>
      <c r="G213" t="s">
        <v>776</v>
      </c>
      <c r="H213" t="s">
        <v>777</v>
      </c>
      <c r="I213" t="s">
        <v>779</v>
      </c>
      <c r="J213">
        <v>2</v>
      </c>
      <c r="K213">
        <v>18000</v>
      </c>
      <c r="L213">
        <f>HotelSales[[#This Row],[Stay_Nights]]*HotelSales[[#This Row],[Room_Rate]]</f>
        <v>72000</v>
      </c>
      <c r="M213">
        <v>5000</v>
      </c>
      <c r="N213">
        <f>HotelSales[[#This Row],[Room_Revenue]]+HotelSales[[#This Row],[Restaurant_Spend]]</f>
        <v>77000</v>
      </c>
      <c r="O213" t="s">
        <v>782</v>
      </c>
    </row>
    <row r="214" spans="1:15">
      <c r="A214" t="s">
        <v>224</v>
      </c>
      <c r="B214" t="s">
        <v>645</v>
      </c>
      <c r="C214" s="2">
        <v>45800.730810185189</v>
      </c>
      <c r="D214" s="1">
        <v>45809.730810185189</v>
      </c>
      <c r="E214" s="1">
        <v>45813.730810185189</v>
      </c>
      <c r="F214">
        <f>HotelSales[[#This Row],[Check_Out]]-HotelSales[[#This Row],[Check_In]]</f>
        <v>4</v>
      </c>
      <c r="G214" t="s">
        <v>775</v>
      </c>
      <c r="H214" t="s">
        <v>777</v>
      </c>
      <c r="I214" t="s">
        <v>780</v>
      </c>
      <c r="J214">
        <v>4</v>
      </c>
      <c r="K214">
        <v>11000</v>
      </c>
      <c r="L214">
        <f>HotelSales[[#This Row],[Stay_Nights]]*HotelSales[[#This Row],[Room_Rate]]</f>
        <v>44000</v>
      </c>
      <c r="M214">
        <v>10000</v>
      </c>
      <c r="N214">
        <f>HotelSales[[#This Row],[Room_Revenue]]+HotelSales[[#This Row],[Restaurant_Spend]]</f>
        <v>54000</v>
      </c>
      <c r="O214" t="s">
        <v>784</v>
      </c>
    </row>
    <row r="215" spans="1:15">
      <c r="A215" t="s">
        <v>225</v>
      </c>
      <c r="B215" t="s">
        <v>672</v>
      </c>
      <c r="C215" s="2">
        <v>45801.266504629632</v>
      </c>
      <c r="D215" s="1">
        <v>45831.266504629632</v>
      </c>
      <c r="E215" s="1">
        <v>45832.266504629632</v>
      </c>
      <c r="F215">
        <f>HotelSales[[#This Row],[Check_Out]]-HotelSales[[#This Row],[Check_In]]</f>
        <v>1</v>
      </c>
      <c r="G215" t="s">
        <v>776</v>
      </c>
      <c r="H215" t="s">
        <v>777</v>
      </c>
      <c r="I215" t="s">
        <v>780</v>
      </c>
      <c r="J215">
        <v>3</v>
      </c>
      <c r="K215">
        <v>17000</v>
      </c>
      <c r="L215">
        <f>HotelSales[[#This Row],[Stay_Nights]]*HotelSales[[#This Row],[Room_Rate]]</f>
        <v>17000</v>
      </c>
      <c r="M215">
        <v>15000</v>
      </c>
      <c r="N215">
        <f>HotelSales[[#This Row],[Room_Revenue]]+HotelSales[[#This Row],[Restaurant_Spend]]</f>
        <v>32000</v>
      </c>
      <c r="O215" t="s">
        <v>782</v>
      </c>
    </row>
    <row r="216" spans="1:15">
      <c r="A216" t="s">
        <v>226</v>
      </c>
      <c r="B216" t="s">
        <v>559</v>
      </c>
      <c r="C216" s="2">
        <v>45801.902731481481</v>
      </c>
      <c r="D216" s="1">
        <v>45816.902731481481</v>
      </c>
      <c r="E216" s="1">
        <v>45819.902731481481</v>
      </c>
      <c r="F216">
        <f>HotelSales[[#This Row],[Check_Out]]-HotelSales[[#This Row],[Check_In]]</f>
        <v>3</v>
      </c>
      <c r="G216" t="s">
        <v>775</v>
      </c>
      <c r="H216" t="s">
        <v>777</v>
      </c>
      <c r="I216" t="s">
        <v>780</v>
      </c>
      <c r="J216">
        <v>4</v>
      </c>
      <c r="K216">
        <v>11000</v>
      </c>
      <c r="L216">
        <f>HotelSales[[#This Row],[Stay_Nights]]*HotelSales[[#This Row],[Room_Rate]]</f>
        <v>33000</v>
      </c>
      <c r="M216">
        <v>8500</v>
      </c>
      <c r="N216">
        <f>HotelSales[[#This Row],[Room_Revenue]]+HotelSales[[#This Row],[Restaurant_Spend]]</f>
        <v>41500</v>
      </c>
      <c r="O216" t="s">
        <v>786</v>
      </c>
    </row>
    <row r="217" spans="1:15">
      <c r="A217" t="s">
        <v>227</v>
      </c>
      <c r="B217" t="s">
        <v>673</v>
      </c>
      <c r="C217" s="2">
        <v>45802.179166666669</v>
      </c>
      <c r="D217" s="1">
        <v>45810.179166666669</v>
      </c>
      <c r="E217" s="1">
        <v>45816.179166666669</v>
      </c>
      <c r="F217">
        <f>HotelSales[[#This Row],[Check_Out]]-HotelSales[[#This Row],[Check_In]]</f>
        <v>6</v>
      </c>
      <c r="G217" t="s">
        <v>774</v>
      </c>
      <c r="H217" t="s">
        <v>778</v>
      </c>
      <c r="I217" t="s">
        <v>780</v>
      </c>
      <c r="J217">
        <v>2</v>
      </c>
      <c r="K217">
        <v>30000</v>
      </c>
      <c r="L217">
        <f>HotelSales[[#This Row],[Stay_Nights]]*HotelSales[[#This Row],[Room_Rate]]</f>
        <v>180000</v>
      </c>
      <c r="M217">
        <v>5000</v>
      </c>
      <c r="N217">
        <f>HotelSales[[#This Row],[Room_Revenue]]+HotelSales[[#This Row],[Restaurant_Spend]]</f>
        <v>185000</v>
      </c>
      <c r="O217" t="s">
        <v>782</v>
      </c>
    </row>
    <row r="218" spans="1:15">
      <c r="A218" t="s">
        <v>228</v>
      </c>
      <c r="B218" t="s">
        <v>555</v>
      </c>
      <c r="C218" s="2">
        <v>45802.215914351851</v>
      </c>
      <c r="D218" s="1">
        <v>45804.215914351851</v>
      </c>
      <c r="E218" s="1">
        <v>45806.215914351851</v>
      </c>
      <c r="F218">
        <f>HotelSales[[#This Row],[Check_Out]]-HotelSales[[#This Row],[Check_In]]</f>
        <v>2</v>
      </c>
      <c r="G218" t="s">
        <v>776</v>
      </c>
      <c r="H218" t="s">
        <v>777</v>
      </c>
      <c r="I218" t="s">
        <v>781</v>
      </c>
      <c r="J218">
        <v>3</v>
      </c>
      <c r="K218">
        <v>19000</v>
      </c>
      <c r="L218">
        <f>HotelSales[[#This Row],[Stay_Nights]]*HotelSales[[#This Row],[Room_Rate]]</f>
        <v>38000</v>
      </c>
      <c r="M218">
        <v>9000</v>
      </c>
      <c r="N218">
        <f>HotelSales[[#This Row],[Room_Revenue]]+HotelSales[[#This Row],[Restaurant_Spend]]</f>
        <v>47000</v>
      </c>
      <c r="O218" t="s">
        <v>787</v>
      </c>
    </row>
    <row r="219" spans="1:15">
      <c r="A219" t="s">
        <v>229</v>
      </c>
      <c r="B219" t="s">
        <v>566</v>
      </c>
      <c r="C219" s="2">
        <v>45803.625069444453</v>
      </c>
      <c r="D219" s="1">
        <v>45814.625069444453</v>
      </c>
      <c r="E219" s="1">
        <v>45815.625069444453</v>
      </c>
      <c r="F219">
        <f>HotelSales[[#This Row],[Check_Out]]-HotelSales[[#This Row],[Check_In]]</f>
        <v>1</v>
      </c>
      <c r="G219" t="s">
        <v>774</v>
      </c>
      <c r="H219" t="s">
        <v>778</v>
      </c>
      <c r="I219" t="s">
        <v>780</v>
      </c>
      <c r="J219">
        <v>2</v>
      </c>
      <c r="K219">
        <v>30000</v>
      </c>
      <c r="L219">
        <f>HotelSales[[#This Row],[Stay_Nights]]*HotelSales[[#This Row],[Room_Rate]]</f>
        <v>30000</v>
      </c>
      <c r="M219">
        <v>9500</v>
      </c>
      <c r="N219">
        <f>HotelSales[[#This Row],[Room_Revenue]]+HotelSales[[#This Row],[Restaurant_Spend]]</f>
        <v>39500</v>
      </c>
      <c r="O219" t="s">
        <v>785</v>
      </c>
    </row>
    <row r="220" spans="1:15">
      <c r="A220" t="s">
        <v>230</v>
      </c>
      <c r="B220" t="s">
        <v>674</v>
      </c>
      <c r="C220" s="2">
        <v>45804.40179398148</v>
      </c>
      <c r="D220" s="1">
        <v>45813.40179398148</v>
      </c>
      <c r="E220" s="1">
        <v>45814.40179398148</v>
      </c>
      <c r="F220">
        <f>HotelSales[[#This Row],[Check_Out]]-HotelSales[[#This Row],[Check_In]]</f>
        <v>1</v>
      </c>
      <c r="G220" t="s">
        <v>774</v>
      </c>
      <c r="H220" t="s">
        <v>778</v>
      </c>
      <c r="I220" t="s">
        <v>780</v>
      </c>
      <c r="J220">
        <v>3</v>
      </c>
      <c r="K220">
        <v>29000</v>
      </c>
      <c r="L220">
        <f>HotelSales[[#This Row],[Stay_Nights]]*HotelSales[[#This Row],[Room_Rate]]</f>
        <v>29000</v>
      </c>
      <c r="M220">
        <v>5500</v>
      </c>
      <c r="N220">
        <f>HotelSales[[#This Row],[Room_Revenue]]+HotelSales[[#This Row],[Restaurant_Spend]]</f>
        <v>34500</v>
      </c>
      <c r="O220" t="s">
        <v>786</v>
      </c>
    </row>
    <row r="221" spans="1:15">
      <c r="A221" t="s">
        <v>231</v>
      </c>
      <c r="B221" t="s">
        <v>675</v>
      </c>
      <c r="C221" s="2">
        <v>45805.910810185182</v>
      </c>
      <c r="D221" s="1">
        <v>45819.910810185182</v>
      </c>
      <c r="E221" s="1">
        <v>45823.910810185182</v>
      </c>
      <c r="F221">
        <f>HotelSales[[#This Row],[Check_Out]]-HotelSales[[#This Row],[Check_In]]</f>
        <v>4</v>
      </c>
      <c r="G221" t="s">
        <v>774</v>
      </c>
      <c r="H221" t="s">
        <v>777</v>
      </c>
      <c r="I221" t="s">
        <v>779</v>
      </c>
      <c r="J221">
        <v>3</v>
      </c>
      <c r="K221">
        <v>30000</v>
      </c>
      <c r="L221">
        <f>HotelSales[[#This Row],[Stay_Nights]]*HotelSales[[#This Row],[Room_Rate]]</f>
        <v>120000</v>
      </c>
      <c r="M221">
        <v>9000</v>
      </c>
      <c r="N221">
        <f>HotelSales[[#This Row],[Room_Revenue]]+HotelSales[[#This Row],[Restaurant_Spend]]</f>
        <v>129000</v>
      </c>
      <c r="O221" t="s">
        <v>785</v>
      </c>
    </row>
    <row r="222" spans="1:15">
      <c r="A222" t="s">
        <v>232</v>
      </c>
      <c r="B222" t="s">
        <v>630</v>
      </c>
      <c r="C222" s="2">
        <v>45806.513831018521</v>
      </c>
      <c r="D222" s="1">
        <v>45819.513831018521</v>
      </c>
      <c r="E222" s="1">
        <v>45822.513831018521</v>
      </c>
      <c r="F222">
        <f>HotelSales[[#This Row],[Check_Out]]-HotelSales[[#This Row],[Check_In]]</f>
        <v>3</v>
      </c>
      <c r="G222" t="s">
        <v>776</v>
      </c>
      <c r="H222" t="s">
        <v>778</v>
      </c>
      <c r="I222" t="s">
        <v>780</v>
      </c>
      <c r="J222">
        <v>3</v>
      </c>
      <c r="K222">
        <v>18000</v>
      </c>
      <c r="L222">
        <f>HotelSales[[#This Row],[Stay_Nights]]*HotelSales[[#This Row],[Room_Rate]]</f>
        <v>54000</v>
      </c>
      <c r="M222">
        <v>6000</v>
      </c>
      <c r="N222">
        <f>HotelSales[[#This Row],[Room_Revenue]]+HotelSales[[#This Row],[Restaurant_Spend]]</f>
        <v>60000</v>
      </c>
      <c r="O222" t="s">
        <v>784</v>
      </c>
    </row>
    <row r="223" spans="1:15">
      <c r="A223" t="s">
        <v>233</v>
      </c>
      <c r="B223" t="s">
        <v>676</v>
      </c>
      <c r="C223" s="2">
        <v>45806.569467592592</v>
      </c>
      <c r="D223" s="1">
        <v>45828.569467592592</v>
      </c>
      <c r="E223" s="1">
        <v>45830.569467592592</v>
      </c>
      <c r="F223">
        <f>HotelSales[[#This Row],[Check_Out]]-HotelSales[[#This Row],[Check_In]]</f>
        <v>2</v>
      </c>
      <c r="G223" t="s">
        <v>775</v>
      </c>
      <c r="H223" t="s">
        <v>778</v>
      </c>
      <c r="I223" t="s">
        <v>780</v>
      </c>
      <c r="J223">
        <v>4</v>
      </c>
      <c r="K223">
        <v>11000</v>
      </c>
      <c r="L223">
        <f>HotelSales[[#This Row],[Stay_Nights]]*HotelSales[[#This Row],[Room_Rate]]</f>
        <v>22000</v>
      </c>
      <c r="M223">
        <v>11000</v>
      </c>
      <c r="N223">
        <f>HotelSales[[#This Row],[Room_Revenue]]+HotelSales[[#This Row],[Restaurant_Spend]]</f>
        <v>33000</v>
      </c>
      <c r="O223" t="s">
        <v>784</v>
      </c>
    </row>
    <row r="224" spans="1:15">
      <c r="A224" t="s">
        <v>234</v>
      </c>
      <c r="B224" t="s">
        <v>575</v>
      </c>
      <c r="C224" s="2">
        <v>45806.641886574071</v>
      </c>
      <c r="D224" s="1">
        <v>45810.641886574071</v>
      </c>
      <c r="E224" s="1">
        <v>45813.641886574071</v>
      </c>
      <c r="F224">
        <f>HotelSales[[#This Row],[Check_Out]]-HotelSales[[#This Row],[Check_In]]</f>
        <v>3</v>
      </c>
      <c r="G224" t="s">
        <v>775</v>
      </c>
      <c r="H224" t="s">
        <v>778</v>
      </c>
      <c r="I224" t="s">
        <v>780</v>
      </c>
      <c r="J224">
        <v>3</v>
      </c>
      <c r="K224">
        <v>11000</v>
      </c>
      <c r="L224">
        <f>HotelSales[[#This Row],[Stay_Nights]]*HotelSales[[#This Row],[Room_Rate]]</f>
        <v>33000</v>
      </c>
      <c r="M224">
        <v>10500</v>
      </c>
      <c r="N224">
        <f>HotelSales[[#This Row],[Room_Revenue]]+HotelSales[[#This Row],[Restaurant_Spend]]</f>
        <v>43500</v>
      </c>
      <c r="O224" t="s">
        <v>786</v>
      </c>
    </row>
    <row r="225" spans="1:15">
      <c r="A225" t="s">
        <v>235</v>
      </c>
      <c r="B225" t="s">
        <v>677</v>
      </c>
      <c r="C225" s="2">
        <v>45808.380868055552</v>
      </c>
      <c r="D225" s="1">
        <v>45817.380868055552</v>
      </c>
      <c r="E225" s="1">
        <v>45821.380868055552</v>
      </c>
      <c r="F225">
        <f>HotelSales[[#This Row],[Check_Out]]-HotelSales[[#This Row],[Check_In]]</f>
        <v>4</v>
      </c>
      <c r="G225" t="s">
        <v>775</v>
      </c>
      <c r="H225" t="s">
        <v>778</v>
      </c>
      <c r="I225" t="s">
        <v>780</v>
      </c>
      <c r="J225">
        <v>3</v>
      </c>
      <c r="K225">
        <v>13000</v>
      </c>
      <c r="L225">
        <f>HotelSales[[#This Row],[Stay_Nights]]*HotelSales[[#This Row],[Room_Rate]]</f>
        <v>52000</v>
      </c>
      <c r="M225">
        <v>3500</v>
      </c>
      <c r="N225">
        <f>HotelSales[[#This Row],[Room_Revenue]]+HotelSales[[#This Row],[Restaurant_Spend]]</f>
        <v>55500</v>
      </c>
      <c r="O225" t="s">
        <v>784</v>
      </c>
    </row>
    <row r="226" spans="1:15">
      <c r="A226" t="s">
        <v>236</v>
      </c>
      <c r="B226" t="s">
        <v>678</v>
      </c>
      <c r="C226" s="2">
        <v>45808.632476851853</v>
      </c>
      <c r="D226" s="1">
        <v>45831.632476851853</v>
      </c>
      <c r="E226" s="1">
        <v>45836.632476851853</v>
      </c>
      <c r="F226">
        <f>HotelSales[[#This Row],[Check_Out]]-HotelSales[[#This Row],[Check_In]]</f>
        <v>5</v>
      </c>
      <c r="G226" t="s">
        <v>775</v>
      </c>
      <c r="H226" t="s">
        <v>777</v>
      </c>
      <c r="I226" t="s">
        <v>780</v>
      </c>
      <c r="J226">
        <v>2</v>
      </c>
      <c r="K226">
        <v>12000</v>
      </c>
      <c r="L226">
        <f>HotelSales[[#This Row],[Stay_Nights]]*HotelSales[[#This Row],[Room_Rate]]</f>
        <v>60000</v>
      </c>
      <c r="M226">
        <v>4000</v>
      </c>
      <c r="N226">
        <f>HotelSales[[#This Row],[Room_Revenue]]+HotelSales[[#This Row],[Restaurant_Spend]]</f>
        <v>64000</v>
      </c>
      <c r="O226" t="s">
        <v>785</v>
      </c>
    </row>
    <row r="227" spans="1:15">
      <c r="A227" t="s">
        <v>237</v>
      </c>
      <c r="B227" t="s">
        <v>679</v>
      </c>
      <c r="C227" s="2">
        <v>45808.712650462963</v>
      </c>
      <c r="D227" s="1">
        <v>45820.712650462963</v>
      </c>
      <c r="E227" s="1">
        <v>45822.712650462963</v>
      </c>
      <c r="F227">
        <f>HotelSales[[#This Row],[Check_Out]]-HotelSales[[#This Row],[Check_In]]</f>
        <v>2</v>
      </c>
      <c r="G227" t="s">
        <v>774</v>
      </c>
      <c r="H227" t="s">
        <v>778</v>
      </c>
      <c r="I227" t="s">
        <v>781</v>
      </c>
      <c r="J227">
        <v>1</v>
      </c>
      <c r="K227">
        <v>30000</v>
      </c>
      <c r="L227">
        <f>HotelSales[[#This Row],[Stay_Nights]]*HotelSales[[#This Row],[Room_Rate]]</f>
        <v>60000</v>
      </c>
      <c r="M227">
        <v>4000</v>
      </c>
      <c r="N227">
        <f>HotelSales[[#This Row],[Room_Revenue]]+HotelSales[[#This Row],[Restaurant_Spend]]</f>
        <v>64000</v>
      </c>
      <c r="O227" t="s">
        <v>783</v>
      </c>
    </row>
    <row r="228" spans="1:15">
      <c r="A228" t="s">
        <v>238</v>
      </c>
      <c r="B228" t="s">
        <v>555</v>
      </c>
      <c r="C228" s="2">
        <v>45809.000787037039</v>
      </c>
      <c r="D228" s="1">
        <v>45829.000787037039</v>
      </c>
      <c r="E228" s="1">
        <v>45831.000787037039</v>
      </c>
      <c r="F228">
        <f>HotelSales[[#This Row],[Check_Out]]-HotelSales[[#This Row],[Check_In]]</f>
        <v>2</v>
      </c>
      <c r="G228" t="s">
        <v>775</v>
      </c>
      <c r="H228" t="s">
        <v>777</v>
      </c>
      <c r="I228" t="s">
        <v>781</v>
      </c>
      <c r="J228">
        <v>4</v>
      </c>
      <c r="K228">
        <v>11000</v>
      </c>
      <c r="L228">
        <f>HotelSales[[#This Row],[Stay_Nights]]*HotelSales[[#This Row],[Room_Rate]]</f>
        <v>22000</v>
      </c>
      <c r="M228">
        <v>11000</v>
      </c>
      <c r="N228">
        <f>HotelSales[[#This Row],[Room_Revenue]]+HotelSales[[#This Row],[Restaurant_Spend]]</f>
        <v>33000</v>
      </c>
      <c r="O228" t="s">
        <v>787</v>
      </c>
    </row>
    <row r="229" spans="1:15">
      <c r="A229" t="s">
        <v>239</v>
      </c>
      <c r="B229" t="s">
        <v>605</v>
      </c>
      <c r="C229" s="2">
        <v>45809.168043981481</v>
      </c>
      <c r="D229" s="1">
        <v>45820.168043981481</v>
      </c>
      <c r="E229" s="1">
        <v>45824.168043981481</v>
      </c>
      <c r="F229">
        <f>HotelSales[[#This Row],[Check_Out]]-HotelSales[[#This Row],[Check_In]]</f>
        <v>4</v>
      </c>
      <c r="G229" t="s">
        <v>775</v>
      </c>
      <c r="H229" t="s">
        <v>778</v>
      </c>
      <c r="I229" t="s">
        <v>780</v>
      </c>
      <c r="J229">
        <v>2</v>
      </c>
      <c r="K229">
        <v>13000</v>
      </c>
      <c r="L229">
        <f>HotelSales[[#This Row],[Stay_Nights]]*HotelSales[[#This Row],[Room_Rate]]</f>
        <v>52000</v>
      </c>
      <c r="M229">
        <v>6000</v>
      </c>
      <c r="N229">
        <f>HotelSales[[#This Row],[Room_Revenue]]+HotelSales[[#This Row],[Restaurant_Spend]]</f>
        <v>58000</v>
      </c>
      <c r="O229" t="s">
        <v>785</v>
      </c>
    </row>
    <row r="230" spans="1:15">
      <c r="A230" t="s">
        <v>240</v>
      </c>
      <c r="B230" t="s">
        <v>680</v>
      </c>
      <c r="C230" s="2">
        <v>45809.409513888888</v>
      </c>
      <c r="D230" s="1">
        <v>45831.409513888888</v>
      </c>
      <c r="E230" s="1">
        <v>45834.409513888888</v>
      </c>
      <c r="F230">
        <f>HotelSales[[#This Row],[Check_Out]]-HotelSales[[#This Row],[Check_In]]</f>
        <v>3</v>
      </c>
      <c r="G230" t="s">
        <v>776</v>
      </c>
      <c r="H230" t="s">
        <v>778</v>
      </c>
      <c r="I230" t="s">
        <v>781</v>
      </c>
      <c r="J230">
        <v>4</v>
      </c>
      <c r="K230">
        <v>18000</v>
      </c>
      <c r="L230">
        <f>HotelSales[[#This Row],[Stay_Nights]]*HotelSales[[#This Row],[Room_Rate]]</f>
        <v>54000</v>
      </c>
      <c r="M230">
        <v>10500</v>
      </c>
      <c r="N230">
        <f>HotelSales[[#This Row],[Room_Revenue]]+HotelSales[[#This Row],[Restaurant_Spend]]</f>
        <v>64500</v>
      </c>
      <c r="O230" t="s">
        <v>782</v>
      </c>
    </row>
    <row r="231" spans="1:15">
      <c r="A231" t="s">
        <v>241</v>
      </c>
      <c r="B231" t="s">
        <v>681</v>
      </c>
      <c r="C231" s="2">
        <v>45809.49145833333</v>
      </c>
      <c r="D231" s="1">
        <v>45811.49145833333</v>
      </c>
      <c r="E231" s="1">
        <v>45813.49145833333</v>
      </c>
      <c r="F231">
        <f>HotelSales[[#This Row],[Check_Out]]-HotelSales[[#This Row],[Check_In]]</f>
        <v>2</v>
      </c>
      <c r="G231" t="s">
        <v>775</v>
      </c>
      <c r="H231" t="s">
        <v>778</v>
      </c>
      <c r="I231" t="s">
        <v>780</v>
      </c>
      <c r="J231">
        <v>1</v>
      </c>
      <c r="K231">
        <v>12000</v>
      </c>
      <c r="L231">
        <f>HotelSales[[#This Row],[Stay_Nights]]*HotelSales[[#This Row],[Room_Rate]]</f>
        <v>24000</v>
      </c>
      <c r="M231">
        <v>3000</v>
      </c>
      <c r="N231">
        <f>HotelSales[[#This Row],[Room_Revenue]]+HotelSales[[#This Row],[Restaurant_Spend]]</f>
        <v>27000</v>
      </c>
      <c r="O231" t="s">
        <v>787</v>
      </c>
    </row>
    <row r="232" spans="1:15">
      <c r="A232" t="s">
        <v>242</v>
      </c>
      <c r="B232" t="s">
        <v>682</v>
      </c>
      <c r="C232" s="2">
        <v>45810.982037037043</v>
      </c>
      <c r="D232" s="1">
        <v>45832.982037037043</v>
      </c>
      <c r="E232" s="1">
        <v>45835.982037037043</v>
      </c>
      <c r="F232">
        <f>HotelSales[[#This Row],[Check_Out]]-HotelSales[[#This Row],[Check_In]]</f>
        <v>3</v>
      </c>
      <c r="G232" t="s">
        <v>776</v>
      </c>
      <c r="H232" t="s">
        <v>777</v>
      </c>
      <c r="I232" t="s">
        <v>780</v>
      </c>
      <c r="J232">
        <v>2</v>
      </c>
      <c r="K232">
        <v>17000</v>
      </c>
      <c r="L232">
        <f>HotelSales[[#This Row],[Stay_Nights]]*HotelSales[[#This Row],[Room_Rate]]</f>
        <v>51000</v>
      </c>
      <c r="M232">
        <v>12000</v>
      </c>
      <c r="N232">
        <f>HotelSales[[#This Row],[Room_Revenue]]+HotelSales[[#This Row],[Restaurant_Spend]]</f>
        <v>63000</v>
      </c>
      <c r="O232" t="s">
        <v>785</v>
      </c>
    </row>
    <row r="233" spans="1:15">
      <c r="A233" t="s">
        <v>243</v>
      </c>
      <c r="B233" t="s">
        <v>683</v>
      </c>
      <c r="C233" s="2">
        <v>45811.591678240737</v>
      </c>
      <c r="D233" s="1">
        <v>45826.591678240737</v>
      </c>
      <c r="E233" s="1">
        <v>45833.591678240737</v>
      </c>
      <c r="F233">
        <f>HotelSales[[#This Row],[Check_Out]]-HotelSales[[#This Row],[Check_In]]</f>
        <v>7</v>
      </c>
      <c r="G233" t="s">
        <v>775</v>
      </c>
      <c r="H233" t="s">
        <v>778</v>
      </c>
      <c r="I233" t="s">
        <v>781</v>
      </c>
      <c r="J233">
        <v>4</v>
      </c>
      <c r="K233">
        <v>11000</v>
      </c>
      <c r="L233">
        <f>HotelSales[[#This Row],[Stay_Nights]]*HotelSales[[#This Row],[Room_Rate]]</f>
        <v>77000</v>
      </c>
      <c r="M233">
        <v>5000</v>
      </c>
      <c r="N233">
        <f>HotelSales[[#This Row],[Room_Revenue]]+HotelSales[[#This Row],[Restaurant_Spend]]</f>
        <v>82000</v>
      </c>
      <c r="O233" t="s">
        <v>787</v>
      </c>
    </row>
    <row r="234" spans="1:15">
      <c r="A234" t="s">
        <v>244</v>
      </c>
      <c r="B234" t="s">
        <v>684</v>
      </c>
      <c r="C234" s="2">
        <v>45811.916342592587</v>
      </c>
      <c r="D234" s="1">
        <v>45828.916342592587</v>
      </c>
      <c r="E234" s="1">
        <v>45830.916342592587</v>
      </c>
      <c r="F234">
        <f>HotelSales[[#This Row],[Check_Out]]-HotelSales[[#This Row],[Check_In]]</f>
        <v>2</v>
      </c>
      <c r="G234" t="s">
        <v>776</v>
      </c>
      <c r="H234" t="s">
        <v>777</v>
      </c>
      <c r="I234" t="s">
        <v>781</v>
      </c>
      <c r="J234">
        <v>2</v>
      </c>
      <c r="K234">
        <v>17000</v>
      </c>
      <c r="L234">
        <f>HotelSales[[#This Row],[Stay_Nights]]*HotelSales[[#This Row],[Room_Rate]]</f>
        <v>34000</v>
      </c>
      <c r="M234">
        <v>4500</v>
      </c>
      <c r="N234">
        <f>HotelSales[[#This Row],[Room_Revenue]]+HotelSales[[#This Row],[Restaurant_Spend]]</f>
        <v>38500</v>
      </c>
      <c r="O234" t="s">
        <v>785</v>
      </c>
    </row>
    <row r="235" spans="1:15">
      <c r="A235" t="s">
        <v>245</v>
      </c>
      <c r="B235" t="s">
        <v>533</v>
      </c>
      <c r="C235" s="2">
        <v>45812.958437499998</v>
      </c>
      <c r="D235" s="1">
        <v>45823.958437499998</v>
      </c>
      <c r="E235" s="1">
        <v>45824.958437499998</v>
      </c>
      <c r="F235">
        <f>HotelSales[[#This Row],[Check_Out]]-HotelSales[[#This Row],[Check_In]]</f>
        <v>1</v>
      </c>
      <c r="G235" t="s">
        <v>776</v>
      </c>
      <c r="H235" t="s">
        <v>778</v>
      </c>
      <c r="I235" t="s">
        <v>780</v>
      </c>
      <c r="J235">
        <v>1</v>
      </c>
      <c r="K235">
        <v>19000</v>
      </c>
      <c r="L235">
        <f>HotelSales[[#This Row],[Stay_Nights]]*HotelSales[[#This Row],[Room_Rate]]</f>
        <v>19000</v>
      </c>
      <c r="M235">
        <v>7500</v>
      </c>
      <c r="N235">
        <f>HotelSales[[#This Row],[Room_Revenue]]+HotelSales[[#This Row],[Restaurant_Spend]]</f>
        <v>26500</v>
      </c>
      <c r="O235" t="s">
        <v>785</v>
      </c>
    </row>
    <row r="236" spans="1:15">
      <c r="A236" t="s">
        <v>246</v>
      </c>
      <c r="B236" t="s">
        <v>685</v>
      </c>
      <c r="C236" s="2">
        <v>45813.198009259257</v>
      </c>
      <c r="D236" s="1">
        <v>45833.198009259257</v>
      </c>
      <c r="E236" s="1">
        <v>45835.198009259257</v>
      </c>
      <c r="F236">
        <f>HotelSales[[#This Row],[Check_Out]]-HotelSales[[#This Row],[Check_In]]</f>
        <v>2</v>
      </c>
      <c r="G236" t="s">
        <v>776</v>
      </c>
      <c r="H236" t="s">
        <v>777</v>
      </c>
      <c r="I236" t="s">
        <v>780</v>
      </c>
      <c r="J236">
        <v>2</v>
      </c>
      <c r="K236">
        <v>19000</v>
      </c>
      <c r="L236">
        <f>HotelSales[[#This Row],[Stay_Nights]]*HotelSales[[#This Row],[Room_Rate]]</f>
        <v>38000</v>
      </c>
      <c r="M236">
        <v>6500</v>
      </c>
      <c r="N236">
        <f>HotelSales[[#This Row],[Room_Revenue]]+HotelSales[[#This Row],[Restaurant_Spend]]</f>
        <v>44500</v>
      </c>
      <c r="O236" t="s">
        <v>783</v>
      </c>
    </row>
    <row r="237" spans="1:15">
      <c r="A237" t="s">
        <v>247</v>
      </c>
      <c r="B237" t="s">
        <v>569</v>
      </c>
      <c r="C237" s="2">
        <v>45813.363912037043</v>
      </c>
      <c r="D237" s="1">
        <v>45822.363912037043</v>
      </c>
      <c r="E237" s="1">
        <v>45824.363912037043</v>
      </c>
      <c r="F237">
        <f>HotelSales[[#This Row],[Check_Out]]-HotelSales[[#This Row],[Check_In]]</f>
        <v>2</v>
      </c>
      <c r="G237" t="s">
        <v>776</v>
      </c>
      <c r="H237" t="s">
        <v>777</v>
      </c>
      <c r="I237" t="s">
        <v>779</v>
      </c>
      <c r="J237">
        <v>1</v>
      </c>
      <c r="K237">
        <v>19000</v>
      </c>
      <c r="L237">
        <f>HotelSales[[#This Row],[Stay_Nights]]*HotelSales[[#This Row],[Room_Rate]]</f>
        <v>38000</v>
      </c>
      <c r="M237">
        <v>1500</v>
      </c>
      <c r="N237">
        <f>HotelSales[[#This Row],[Room_Revenue]]+HotelSales[[#This Row],[Restaurant_Spend]]</f>
        <v>39500</v>
      </c>
      <c r="O237" t="s">
        <v>783</v>
      </c>
    </row>
    <row r="238" spans="1:15">
      <c r="A238" t="s">
        <v>248</v>
      </c>
      <c r="B238" t="s">
        <v>602</v>
      </c>
      <c r="C238" s="2">
        <v>45813.666238425933</v>
      </c>
      <c r="D238" s="1">
        <v>45826.666238425933</v>
      </c>
      <c r="E238" s="1">
        <v>45830.666238425933</v>
      </c>
      <c r="F238">
        <f>HotelSales[[#This Row],[Check_Out]]-HotelSales[[#This Row],[Check_In]]</f>
        <v>4</v>
      </c>
      <c r="G238" t="s">
        <v>775</v>
      </c>
      <c r="H238" t="s">
        <v>778</v>
      </c>
      <c r="I238" t="s">
        <v>781</v>
      </c>
      <c r="J238">
        <v>2</v>
      </c>
      <c r="K238">
        <v>13000</v>
      </c>
      <c r="L238">
        <f>HotelSales[[#This Row],[Stay_Nights]]*HotelSales[[#This Row],[Room_Rate]]</f>
        <v>52000</v>
      </c>
      <c r="M238">
        <v>3500</v>
      </c>
      <c r="N238">
        <f>HotelSales[[#This Row],[Room_Revenue]]+HotelSales[[#This Row],[Restaurant_Spend]]</f>
        <v>55500</v>
      </c>
      <c r="O238" t="s">
        <v>787</v>
      </c>
    </row>
    <row r="239" spans="1:15">
      <c r="A239" t="s">
        <v>249</v>
      </c>
      <c r="B239" t="s">
        <v>567</v>
      </c>
      <c r="C239" s="2">
        <v>45813.743564814817</v>
      </c>
      <c r="D239" s="1">
        <v>45830.743564814817</v>
      </c>
      <c r="E239" s="1">
        <v>45837.743564814817</v>
      </c>
      <c r="F239">
        <f>HotelSales[[#This Row],[Check_Out]]-HotelSales[[#This Row],[Check_In]]</f>
        <v>7</v>
      </c>
      <c r="G239" t="s">
        <v>775</v>
      </c>
      <c r="H239" t="s">
        <v>778</v>
      </c>
      <c r="I239" t="s">
        <v>781</v>
      </c>
      <c r="J239">
        <v>2</v>
      </c>
      <c r="K239">
        <v>12000</v>
      </c>
      <c r="L239">
        <f>HotelSales[[#This Row],[Stay_Nights]]*HotelSales[[#This Row],[Room_Rate]]</f>
        <v>84000</v>
      </c>
      <c r="M239">
        <v>5500</v>
      </c>
      <c r="N239">
        <f>HotelSales[[#This Row],[Room_Revenue]]+HotelSales[[#This Row],[Restaurant_Spend]]</f>
        <v>89500</v>
      </c>
      <c r="O239" t="s">
        <v>787</v>
      </c>
    </row>
    <row r="240" spans="1:15">
      <c r="A240" t="s">
        <v>250</v>
      </c>
      <c r="B240" t="s">
        <v>637</v>
      </c>
      <c r="C240" s="2">
        <v>45815.755601851852</v>
      </c>
      <c r="D240" s="1">
        <v>45822.755601851852</v>
      </c>
      <c r="E240" s="1">
        <v>45823.755601851852</v>
      </c>
      <c r="F240">
        <f>HotelSales[[#This Row],[Check_Out]]-HotelSales[[#This Row],[Check_In]]</f>
        <v>1</v>
      </c>
      <c r="G240" t="s">
        <v>776</v>
      </c>
      <c r="H240" t="s">
        <v>778</v>
      </c>
      <c r="I240" t="s">
        <v>780</v>
      </c>
      <c r="J240">
        <v>2</v>
      </c>
      <c r="K240">
        <v>17000</v>
      </c>
      <c r="L240">
        <f>HotelSales[[#This Row],[Stay_Nights]]*HotelSales[[#This Row],[Room_Rate]]</f>
        <v>17000</v>
      </c>
      <c r="M240">
        <v>6000</v>
      </c>
      <c r="N240">
        <f>HotelSales[[#This Row],[Room_Revenue]]+HotelSales[[#This Row],[Restaurant_Spend]]</f>
        <v>23000</v>
      </c>
      <c r="O240" t="s">
        <v>786</v>
      </c>
    </row>
    <row r="241" spans="1:15">
      <c r="A241" t="s">
        <v>251</v>
      </c>
      <c r="B241" t="s">
        <v>603</v>
      </c>
      <c r="C241" s="2">
        <v>45815.89943287037</v>
      </c>
      <c r="D241" s="1">
        <v>45834.89943287037</v>
      </c>
      <c r="E241" s="1">
        <v>45836.89943287037</v>
      </c>
      <c r="F241">
        <f>HotelSales[[#This Row],[Check_Out]]-HotelSales[[#This Row],[Check_In]]</f>
        <v>2</v>
      </c>
      <c r="G241" t="s">
        <v>776</v>
      </c>
      <c r="H241" t="s">
        <v>778</v>
      </c>
      <c r="I241" t="s">
        <v>779</v>
      </c>
      <c r="J241">
        <v>2</v>
      </c>
      <c r="K241">
        <v>18000</v>
      </c>
      <c r="L241">
        <f>HotelSales[[#This Row],[Stay_Nights]]*HotelSales[[#This Row],[Room_Rate]]</f>
        <v>36000</v>
      </c>
      <c r="M241">
        <v>5000</v>
      </c>
      <c r="N241">
        <f>HotelSales[[#This Row],[Room_Revenue]]+HotelSales[[#This Row],[Restaurant_Spend]]</f>
        <v>41000</v>
      </c>
      <c r="O241" t="s">
        <v>785</v>
      </c>
    </row>
    <row r="242" spans="1:15">
      <c r="A242" t="s">
        <v>252</v>
      </c>
      <c r="B242" t="s">
        <v>645</v>
      </c>
      <c r="C242" s="2">
        <v>45816.099340277768</v>
      </c>
      <c r="D242" s="1">
        <v>45824.099340277768</v>
      </c>
      <c r="E242" s="1">
        <v>45826.099340277768</v>
      </c>
      <c r="F242">
        <f>HotelSales[[#This Row],[Check_Out]]-HotelSales[[#This Row],[Check_In]]</f>
        <v>2</v>
      </c>
      <c r="G242" t="s">
        <v>775</v>
      </c>
      <c r="H242" t="s">
        <v>778</v>
      </c>
      <c r="I242" t="s">
        <v>779</v>
      </c>
      <c r="J242">
        <v>1</v>
      </c>
      <c r="K242">
        <v>12000</v>
      </c>
      <c r="L242">
        <f>HotelSales[[#This Row],[Stay_Nights]]*HotelSales[[#This Row],[Room_Rate]]</f>
        <v>24000</v>
      </c>
      <c r="M242">
        <v>11500</v>
      </c>
      <c r="N242">
        <f>HotelSales[[#This Row],[Room_Revenue]]+HotelSales[[#This Row],[Restaurant_Spend]]</f>
        <v>35500</v>
      </c>
      <c r="O242" t="s">
        <v>786</v>
      </c>
    </row>
    <row r="243" spans="1:15">
      <c r="A243" t="s">
        <v>253</v>
      </c>
      <c r="B243" t="s">
        <v>639</v>
      </c>
      <c r="C243" s="2">
        <v>45817.506215277783</v>
      </c>
      <c r="D243" s="1">
        <v>45823.506215277783</v>
      </c>
      <c r="E243" s="1">
        <v>45830.506215277783</v>
      </c>
      <c r="F243">
        <f>HotelSales[[#This Row],[Check_Out]]-HotelSales[[#This Row],[Check_In]]</f>
        <v>7</v>
      </c>
      <c r="G243" t="s">
        <v>776</v>
      </c>
      <c r="H243" t="s">
        <v>778</v>
      </c>
      <c r="I243" t="s">
        <v>780</v>
      </c>
      <c r="J243">
        <v>3</v>
      </c>
      <c r="K243">
        <v>18000</v>
      </c>
      <c r="L243">
        <f>HotelSales[[#This Row],[Stay_Nights]]*HotelSales[[#This Row],[Room_Rate]]</f>
        <v>126000</v>
      </c>
      <c r="M243">
        <v>0</v>
      </c>
      <c r="N243">
        <f>HotelSales[[#This Row],[Room_Revenue]]+HotelSales[[#This Row],[Restaurant_Spend]]</f>
        <v>126000</v>
      </c>
      <c r="O243" t="s">
        <v>784</v>
      </c>
    </row>
    <row r="244" spans="1:15">
      <c r="A244" t="s">
        <v>254</v>
      </c>
      <c r="B244" t="s">
        <v>686</v>
      </c>
      <c r="C244" s="2">
        <v>45818.1</v>
      </c>
      <c r="D244" s="1">
        <v>45819.1</v>
      </c>
      <c r="E244" s="1">
        <v>45821.1</v>
      </c>
      <c r="F244">
        <f>HotelSales[[#This Row],[Check_Out]]-HotelSales[[#This Row],[Check_In]]</f>
        <v>2</v>
      </c>
      <c r="G244" t="s">
        <v>776</v>
      </c>
      <c r="H244" t="s">
        <v>778</v>
      </c>
      <c r="I244" t="s">
        <v>779</v>
      </c>
      <c r="J244">
        <v>2</v>
      </c>
      <c r="K244">
        <v>18000</v>
      </c>
      <c r="L244">
        <f>HotelSales[[#This Row],[Stay_Nights]]*HotelSales[[#This Row],[Room_Rate]]</f>
        <v>36000</v>
      </c>
      <c r="M244">
        <v>13500</v>
      </c>
      <c r="N244">
        <f>HotelSales[[#This Row],[Room_Revenue]]+HotelSales[[#This Row],[Restaurant_Spend]]</f>
        <v>49500</v>
      </c>
      <c r="O244" t="s">
        <v>782</v>
      </c>
    </row>
    <row r="245" spans="1:15">
      <c r="A245" t="s">
        <v>255</v>
      </c>
      <c r="B245" t="s">
        <v>571</v>
      </c>
      <c r="C245" s="2">
        <v>45818.254861111112</v>
      </c>
      <c r="D245" s="1">
        <v>45820.254861111112</v>
      </c>
      <c r="E245" s="1">
        <v>45825.254861111112</v>
      </c>
      <c r="F245">
        <f>HotelSales[[#This Row],[Check_Out]]-HotelSales[[#This Row],[Check_In]]</f>
        <v>5</v>
      </c>
      <c r="G245" t="s">
        <v>774</v>
      </c>
      <c r="H245" t="s">
        <v>778</v>
      </c>
      <c r="I245" t="s">
        <v>779</v>
      </c>
      <c r="J245">
        <v>1</v>
      </c>
      <c r="K245">
        <v>30000</v>
      </c>
      <c r="L245">
        <f>HotelSales[[#This Row],[Stay_Nights]]*HotelSales[[#This Row],[Room_Rate]]</f>
        <v>150000</v>
      </c>
      <c r="M245">
        <v>6500</v>
      </c>
      <c r="N245">
        <f>HotelSales[[#This Row],[Room_Revenue]]+HotelSales[[#This Row],[Restaurant_Spend]]</f>
        <v>156500</v>
      </c>
      <c r="O245" t="s">
        <v>783</v>
      </c>
    </row>
    <row r="246" spans="1:15">
      <c r="A246" t="s">
        <v>256</v>
      </c>
      <c r="B246" t="s">
        <v>687</v>
      </c>
      <c r="C246" s="2">
        <v>45819.383726851847</v>
      </c>
      <c r="D246" s="1">
        <v>45831.383726851847</v>
      </c>
      <c r="E246" s="1">
        <v>45834.383726851847</v>
      </c>
      <c r="F246">
        <f>HotelSales[[#This Row],[Check_Out]]-HotelSales[[#This Row],[Check_In]]</f>
        <v>3</v>
      </c>
      <c r="G246" t="s">
        <v>776</v>
      </c>
      <c r="H246" t="s">
        <v>778</v>
      </c>
      <c r="I246" t="s">
        <v>780</v>
      </c>
      <c r="J246">
        <v>4</v>
      </c>
      <c r="K246">
        <v>18000</v>
      </c>
      <c r="L246">
        <f>HotelSales[[#This Row],[Stay_Nights]]*HotelSales[[#This Row],[Room_Rate]]</f>
        <v>54000</v>
      </c>
      <c r="M246">
        <v>5500</v>
      </c>
      <c r="N246">
        <f>HotelSales[[#This Row],[Room_Revenue]]+HotelSales[[#This Row],[Restaurant_Spend]]</f>
        <v>59500</v>
      </c>
      <c r="O246" t="s">
        <v>787</v>
      </c>
    </row>
    <row r="247" spans="1:15">
      <c r="A247" t="s">
        <v>257</v>
      </c>
      <c r="B247" t="s">
        <v>613</v>
      </c>
      <c r="C247" s="2">
        <v>45821.278495370367</v>
      </c>
      <c r="D247" s="1">
        <v>45836.278495370367</v>
      </c>
      <c r="E247" s="1">
        <v>45841.278495370367</v>
      </c>
      <c r="F247">
        <f>HotelSales[[#This Row],[Check_Out]]-HotelSales[[#This Row],[Check_In]]</f>
        <v>5</v>
      </c>
      <c r="G247" t="s">
        <v>776</v>
      </c>
      <c r="H247" t="s">
        <v>777</v>
      </c>
      <c r="I247" t="s">
        <v>780</v>
      </c>
      <c r="J247">
        <v>3</v>
      </c>
      <c r="K247">
        <v>19000</v>
      </c>
      <c r="L247">
        <f>HotelSales[[#This Row],[Stay_Nights]]*HotelSales[[#This Row],[Room_Rate]]</f>
        <v>95000</v>
      </c>
      <c r="M247">
        <v>9000</v>
      </c>
      <c r="N247">
        <f>HotelSales[[#This Row],[Room_Revenue]]+HotelSales[[#This Row],[Restaurant_Spend]]</f>
        <v>104000</v>
      </c>
      <c r="O247" t="s">
        <v>783</v>
      </c>
    </row>
    <row r="248" spans="1:15">
      <c r="A248" t="s">
        <v>258</v>
      </c>
      <c r="B248" t="s">
        <v>688</v>
      </c>
      <c r="C248" s="2">
        <v>45821.683148148149</v>
      </c>
      <c r="D248" s="1">
        <v>45834.683148148149</v>
      </c>
      <c r="E248" s="1">
        <v>45838.683148148149</v>
      </c>
      <c r="F248">
        <f>HotelSales[[#This Row],[Check_Out]]-HotelSales[[#This Row],[Check_In]]</f>
        <v>4</v>
      </c>
      <c r="G248" t="s">
        <v>776</v>
      </c>
      <c r="H248" t="s">
        <v>777</v>
      </c>
      <c r="I248" t="s">
        <v>779</v>
      </c>
      <c r="J248">
        <v>2</v>
      </c>
      <c r="K248">
        <v>19000</v>
      </c>
      <c r="L248">
        <f>HotelSales[[#This Row],[Stay_Nights]]*HotelSales[[#This Row],[Room_Rate]]</f>
        <v>76000</v>
      </c>
      <c r="M248">
        <v>6500</v>
      </c>
      <c r="N248">
        <f>HotelSales[[#This Row],[Room_Revenue]]+HotelSales[[#This Row],[Restaurant_Spend]]</f>
        <v>82500</v>
      </c>
      <c r="O248" t="s">
        <v>787</v>
      </c>
    </row>
    <row r="249" spans="1:15">
      <c r="A249" t="s">
        <v>259</v>
      </c>
      <c r="B249" t="s">
        <v>544</v>
      </c>
      <c r="C249" s="2">
        <v>45822.375543981478</v>
      </c>
      <c r="D249" s="1">
        <v>45848.375543981478</v>
      </c>
      <c r="E249" s="1">
        <v>45850.375543981478</v>
      </c>
      <c r="F249">
        <f>HotelSales[[#This Row],[Check_Out]]-HotelSales[[#This Row],[Check_In]]</f>
        <v>2</v>
      </c>
      <c r="G249" t="s">
        <v>775</v>
      </c>
      <c r="H249" t="s">
        <v>778</v>
      </c>
      <c r="I249" t="s">
        <v>780</v>
      </c>
      <c r="J249">
        <v>1</v>
      </c>
      <c r="K249">
        <v>11000</v>
      </c>
      <c r="L249">
        <f>HotelSales[[#This Row],[Stay_Nights]]*HotelSales[[#This Row],[Room_Rate]]</f>
        <v>22000</v>
      </c>
      <c r="M249">
        <v>6500</v>
      </c>
      <c r="N249">
        <f>HotelSales[[#This Row],[Room_Revenue]]+HotelSales[[#This Row],[Restaurant_Spend]]</f>
        <v>28500</v>
      </c>
      <c r="O249" t="s">
        <v>785</v>
      </c>
    </row>
    <row r="250" spans="1:15">
      <c r="A250" t="s">
        <v>260</v>
      </c>
      <c r="B250" t="s">
        <v>545</v>
      </c>
      <c r="C250" s="2">
        <v>45823.001875000002</v>
      </c>
      <c r="D250" s="1">
        <v>45843.001875000002</v>
      </c>
      <c r="E250" s="1">
        <v>45846.001875000002</v>
      </c>
      <c r="F250">
        <f>HotelSales[[#This Row],[Check_Out]]-HotelSales[[#This Row],[Check_In]]</f>
        <v>3</v>
      </c>
      <c r="G250" t="s">
        <v>774</v>
      </c>
      <c r="H250" t="s">
        <v>778</v>
      </c>
      <c r="I250" t="s">
        <v>780</v>
      </c>
      <c r="J250">
        <v>2</v>
      </c>
      <c r="K250">
        <v>29000</v>
      </c>
      <c r="L250">
        <f>HotelSales[[#This Row],[Stay_Nights]]*HotelSales[[#This Row],[Room_Rate]]</f>
        <v>87000</v>
      </c>
      <c r="M250">
        <v>9500</v>
      </c>
      <c r="N250">
        <f>HotelSales[[#This Row],[Room_Revenue]]+HotelSales[[#This Row],[Restaurant_Spend]]</f>
        <v>96500</v>
      </c>
      <c r="O250" t="s">
        <v>783</v>
      </c>
    </row>
    <row r="251" spans="1:15">
      <c r="A251" t="s">
        <v>261</v>
      </c>
      <c r="B251" t="s">
        <v>600</v>
      </c>
      <c r="C251" s="2">
        <v>45824.166018518517</v>
      </c>
      <c r="D251" s="1">
        <v>45830.166018518517</v>
      </c>
      <c r="E251" s="1">
        <v>45834.166018518517</v>
      </c>
      <c r="F251">
        <f>HotelSales[[#This Row],[Check_Out]]-HotelSales[[#This Row],[Check_In]]</f>
        <v>4</v>
      </c>
      <c r="G251" t="s">
        <v>775</v>
      </c>
      <c r="H251" t="s">
        <v>777</v>
      </c>
      <c r="I251" t="s">
        <v>780</v>
      </c>
      <c r="J251">
        <v>2</v>
      </c>
      <c r="K251">
        <v>13000</v>
      </c>
      <c r="L251">
        <f>HotelSales[[#This Row],[Stay_Nights]]*HotelSales[[#This Row],[Room_Rate]]</f>
        <v>52000</v>
      </c>
      <c r="M251">
        <v>3000</v>
      </c>
      <c r="N251">
        <f>HotelSales[[#This Row],[Room_Revenue]]+HotelSales[[#This Row],[Restaurant_Spend]]</f>
        <v>55000</v>
      </c>
      <c r="O251" t="s">
        <v>782</v>
      </c>
    </row>
    <row r="252" spans="1:15">
      <c r="A252" t="s">
        <v>262</v>
      </c>
      <c r="B252" t="s">
        <v>533</v>
      </c>
      <c r="C252" s="2">
        <v>45825.14634259259</v>
      </c>
      <c r="D252" s="1">
        <v>45853.14634259259</v>
      </c>
      <c r="E252" s="1">
        <v>45856.14634259259</v>
      </c>
      <c r="F252">
        <f>HotelSales[[#This Row],[Check_Out]]-HotelSales[[#This Row],[Check_In]]</f>
        <v>3</v>
      </c>
      <c r="G252" t="s">
        <v>775</v>
      </c>
      <c r="H252" t="s">
        <v>777</v>
      </c>
      <c r="I252" t="s">
        <v>780</v>
      </c>
      <c r="J252">
        <v>2</v>
      </c>
      <c r="K252">
        <v>11000</v>
      </c>
      <c r="L252">
        <f>HotelSales[[#This Row],[Stay_Nights]]*HotelSales[[#This Row],[Room_Rate]]</f>
        <v>33000</v>
      </c>
      <c r="M252">
        <v>6000</v>
      </c>
      <c r="N252">
        <f>HotelSales[[#This Row],[Room_Revenue]]+HotelSales[[#This Row],[Restaurant_Spend]]</f>
        <v>39000</v>
      </c>
      <c r="O252" t="s">
        <v>786</v>
      </c>
    </row>
    <row r="253" spans="1:15">
      <c r="A253" t="s">
        <v>263</v>
      </c>
      <c r="B253" t="s">
        <v>689</v>
      </c>
      <c r="C253" s="2">
        <v>45825.930405092593</v>
      </c>
      <c r="D253" s="1">
        <v>45838.930405092593</v>
      </c>
      <c r="E253" s="1">
        <v>45839.930405092593</v>
      </c>
      <c r="F253">
        <f>HotelSales[[#This Row],[Check_Out]]-HotelSales[[#This Row],[Check_In]]</f>
        <v>1</v>
      </c>
      <c r="G253" t="s">
        <v>776</v>
      </c>
      <c r="H253" t="s">
        <v>778</v>
      </c>
      <c r="I253" t="s">
        <v>780</v>
      </c>
      <c r="J253">
        <v>1</v>
      </c>
      <c r="K253">
        <v>17000</v>
      </c>
      <c r="L253">
        <f>HotelSales[[#This Row],[Stay_Nights]]*HotelSales[[#This Row],[Room_Rate]]</f>
        <v>17000</v>
      </c>
      <c r="M253">
        <v>12500</v>
      </c>
      <c r="N253">
        <f>HotelSales[[#This Row],[Room_Revenue]]+HotelSales[[#This Row],[Restaurant_Spend]]</f>
        <v>29500</v>
      </c>
      <c r="O253" t="s">
        <v>784</v>
      </c>
    </row>
    <row r="254" spans="1:15">
      <c r="A254" t="s">
        <v>264</v>
      </c>
      <c r="B254" t="s">
        <v>586</v>
      </c>
      <c r="C254" s="2">
        <v>45826.67428240741</v>
      </c>
      <c r="D254" s="1">
        <v>45829.67428240741</v>
      </c>
      <c r="E254" s="1">
        <v>45831.67428240741</v>
      </c>
      <c r="F254">
        <f>HotelSales[[#This Row],[Check_Out]]-HotelSales[[#This Row],[Check_In]]</f>
        <v>2</v>
      </c>
      <c r="G254" t="s">
        <v>776</v>
      </c>
      <c r="H254" t="s">
        <v>778</v>
      </c>
      <c r="I254" t="s">
        <v>779</v>
      </c>
      <c r="J254">
        <v>2</v>
      </c>
      <c r="K254">
        <v>17000</v>
      </c>
      <c r="L254">
        <f>HotelSales[[#This Row],[Stay_Nights]]*HotelSales[[#This Row],[Room_Rate]]</f>
        <v>34000</v>
      </c>
      <c r="M254">
        <v>4500</v>
      </c>
      <c r="N254">
        <f>HotelSales[[#This Row],[Room_Revenue]]+HotelSales[[#This Row],[Restaurant_Spend]]</f>
        <v>38500</v>
      </c>
      <c r="O254" t="s">
        <v>785</v>
      </c>
    </row>
    <row r="255" spans="1:15">
      <c r="A255" t="s">
        <v>265</v>
      </c>
      <c r="B255" t="s">
        <v>631</v>
      </c>
      <c r="C255" s="2">
        <v>45827.873483796298</v>
      </c>
      <c r="D255" s="1">
        <v>45853.873483796298</v>
      </c>
      <c r="E255" s="1">
        <v>45855.873483796298</v>
      </c>
      <c r="F255">
        <f>HotelSales[[#This Row],[Check_Out]]-HotelSales[[#This Row],[Check_In]]</f>
        <v>2</v>
      </c>
      <c r="G255" t="s">
        <v>775</v>
      </c>
      <c r="H255" t="s">
        <v>778</v>
      </c>
      <c r="I255" t="s">
        <v>780</v>
      </c>
      <c r="J255">
        <v>3</v>
      </c>
      <c r="K255">
        <v>13000</v>
      </c>
      <c r="L255">
        <f>HotelSales[[#This Row],[Stay_Nights]]*HotelSales[[#This Row],[Room_Rate]]</f>
        <v>26000</v>
      </c>
      <c r="M255">
        <v>3000</v>
      </c>
      <c r="N255">
        <f>HotelSales[[#This Row],[Room_Revenue]]+HotelSales[[#This Row],[Restaurant_Spend]]</f>
        <v>29000</v>
      </c>
      <c r="O255" t="s">
        <v>782</v>
      </c>
    </row>
    <row r="256" spans="1:15">
      <c r="A256" t="s">
        <v>266</v>
      </c>
      <c r="B256" t="s">
        <v>678</v>
      </c>
      <c r="C256" s="2">
        <v>45827.922638888893</v>
      </c>
      <c r="D256" s="1">
        <v>45845.922638888893</v>
      </c>
      <c r="E256" s="1">
        <v>45851.922638888893</v>
      </c>
      <c r="F256">
        <f>HotelSales[[#This Row],[Check_Out]]-HotelSales[[#This Row],[Check_In]]</f>
        <v>6</v>
      </c>
      <c r="G256" t="s">
        <v>776</v>
      </c>
      <c r="H256" t="s">
        <v>777</v>
      </c>
      <c r="I256" t="s">
        <v>779</v>
      </c>
      <c r="J256">
        <v>2</v>
      </c>
      <c r="K256">
        <v>18000</v>
      </c>
      <c r="L256">
        <f>HotelSales[[#This Row],[Stay_Nights]]*HotelSales[[#This Row],[Room_Rate]]</f>
        <v>108000</v>
      </c>
      <c r="M256">
        <v>3500</v>
      </c>
      <c r="N256">
        <f>HotelSales[[#This Row],[Room_Revenue]]+HotelSales[[#This Row],[Restaurant_Spend]]</f>
        <v>111500</v>
      </c>
      <c r="O256" t="s">
        <v>784</v>
      </c>
    </row>
    <row r="257" spans="1:15">
      <c r="A257" t="s">
        <v>267</v>
      </c>
      <c r="B257" t="s">
        <v>690</v>
      </c>
      <c r="C257" s="2">
        <v>45829.010659722233</v>
      </c>
      <c r="D257" s="1">
        <v>45838.010659722233</v>
      </c>
      <c r="E257" s="1">
        <v>45843.010659722233</v>
      </c>
      <c r="F257">
        <f>HotelSales[[#This Row],[Check_Out]]-HotelSales[[#This Row],[Check_In]]</f>
        <v>5</v>
      </c>
      <c r="G257" t="s">
        <v>776</v>
      </c>
      <c r="H257" t="s">
        <v>778</v>
      </c>
      <c r="I257" t="s">
        <v>779</v>
      </c>
      <c r="J257">
        <v>2</v>
      </c>
      <c r="K257">
        <v>18000</v>
      </c>
      <c r="L257">
        <f>HotelSales[[#This Row],[Stay_Nights]]*HotelSales[[#This Row],[Room_Rate]]</f>
        <v>90000</v>
      </c>
      <c r="M257">
        <v>12500</v>
      </c>
      <c r="N257">
        <f>HotelSales[[#This Row],[Room_Revenue]]+HotelSales[[#This Row],[Restaurant_Spend]]</f>
        <v>102500</v>
      </c>
      <c r="O257" t="s">
        <v>786</v>
      </c>
    </row>
    <row r="258" spans="1:15">
      <c r="A258" t="s">
        <v>268</v>
      </c>
      <c r="B258" t="s">
        <v>691</v>
      </c>
      <c r="C258" s="2">
        <v>45829.419259259259</v>
      </c>
      <c r="D258" s="1">
        <v>45851.419259259259</v>
      </c>
      <c r="E258" s="1">
        <v>45854.419259259259</v>
      </c>
      <c r="F258">
        <f>HotelSales[[#This Row],[Check_Out]]-HotelSales[[#This Row],[Check_In]]</f>
        <v>3</v>
      </c>
      <c r="G258" t="s">
        <v>775</v>
      </c>
      <c r="H258" t="s">
        <v>778</v>
      </c>
      <c r="I258" t="s">
        <v>780</v>
      </c>
      <c r="J258">
        <v>3</v>
      </c>
      <c r="K258">
        <v>12000</v>
      </c>
      <c r="L258">
        <f>HotelSales[[#This Row],[Stay_Nights]]*HotelSales[[#This Row],[Room_Rate]]</f>
        <v>36000</v>
      </c>
      <c r="M258">
        <v>5500</v>
      </c>
      <c r="N258">
        <f>HotelSales[[#This Row],[Room_Revenue]]+HotelSales[[#This Row],[Restaurant_Spend]]</f>
        <v>41500</v>
      </c>
      <c r="O258" t="s">
        <v>782</v>
      </c>
    </row>
    <row r="259" spans="1:15">
      <c r="A259" t="s">
        <v>269</v>
      </c>
      <c r="B259" t="s">
        <v>588</v>
      </c>
      <c r="C259" s="2">
        <v>45829.731111111112</v>
      </c>
      <c r="D259" s="1">
        <v>45834.731111111112</v>
      </c>
      <c r="E259" s="1">
        <v>45836.731111111112</v>
      </c>
      <c r="F259">
        <f>HotelSales[[#This Row],[Check_Out]]-HotelSales[[#This Row],[Check_In]]</f>
        <v>2</v>
      </c>
      <c r="G259" t="s">
        <v>775</v>
      </c>
      <c r="H259" t="s">
        <v>778</v>
      </c>
      <c r="I259" t="s">
        <v>780</v>
      </c>
      <c r="J259">
        <v>2</v>
      </c>
      <c r="K259">
        <v>12000</v>
      </c>
      <c r="L259">
        <f>HotelSales[[#This Row],[Stay_Nights]]*HotelSales[[#This Row],[Room_Rate]]</f>
        <v>24000</v>
      </c>
      <c r="M259">
        <v>11500</v>
      </c>
      <c r="N259">
        <f>HotelSales[[#This Row],[Room_Revenue]]+HotelSales[[#This Row],[Restaurant_Spend]]</f>
        <v>35500</v>
      </c>
      <c r="O259" t="s">
        <v>783</v>
      </c>
    </row>
    <row r="260" spans="1:15">
      <c r="A260" t="s">
        <v>270</v>
      </c>
      <c r="B260" t="s">
        <v>692</v>
      </c>
      <c r="C260" s="2">
        <v>45830.255902777782</v>
      </c>
      <c r="D260" s="1">
        <v>45854.255902777782</v>
      </c>
      <c r="E260" s="1">
        <v>45855.255902777782</v>
      </c>
      <c r="F260">
        <f>HotelSales[[#This Row],[Check_Out]]-HotelSales[[#This Row],[Check_In]]</f>
        <v>1</v>
      </c>
      <c r="G260" t="s">
        <v>775</v>
      </c>
      <c r="H260" t="s">
        <v>777</v>
      </c>
      <c r="I260" t="s">
        <v>779</v>
      </c>
      <c r="J260">
        <v>1</v>
      </c>
      <c r="K260">
        <v>13000</v>
      </c>
      <c r="L260">
        <f>HotelSales[[#This Row],[Stay_Nights]]*HotelSales[[#This Row],[Room_Rate]]</f>
        <v>13000</v>
      </c>
      <c r="M260">
        <v>13000</v>
      </c>
      <c r="N260">
        <f>HotelSales[[#This Row],[Room_Revenue]]+HotelSales[[#This Row],[Restaurant_Spend]]</f>
        <v>26000</v>
      </c>
      <c r="O260" t="s">
        <v>782</v>
      </c>
    </row>
    <row r="261" spans="1:15">
      <c r="A261" t="s">
        <v>271</v>
      </c>
      <c r="B261" t="s">
        <v>693</v>
      </c>
      <c r="C261" s="2">
        <v>45830.498159722221</v>
      </c>
      <c r="D261" s="1">
        <v>45860.498159722221</v>
      </c>
      <c r="E261" s="1">
        <v>45862.498159722221</v>
      </c>
      <c r="F261">
        <f>HotelSales[[#This Row],[Check_Out]]-HotelSales[[#This Row],[Check_In]]</f>
        <v>2</v>
      </c>
      <c r="G261" t="s">
        <v>775</v>
      </c>
      <c r="H261" t="s">
        <v>777</v>
      </c>
      <c r="I261" t="s">
        <v>780</v>
      </c>
      <c r="J261">
        <v>4</v>
      </c>
      <c r="K261">
        <v>13000</v>
      </c>
      <c r="L261">
        <f>HotelSales[[#This Row],[Stay_Nights]]*HotelSales[[#This Row],[Room_Rate]]</f>
        <v>26000</v>
      </c>
      <c r="M261">
        <v>11000</v>
      </c>
      <c r="N261">
        <f>HotelSales[[#This Row],[Room_Revenue]]+HotelSales[[#This Row],[Restaurant_Spend]]</f>
        <v>37000</v>
      </c>
      <c r="O261" t="s">
        <v>786</v>
      </c>
    </row>
    <row r="262" spans="1:15">
      <c r="A262" t="s">
        <v>272</v>
      </c>
      <c r="B262" t="s">
        <v>694</v>
      </c>
      <c r="C262" s="2">
        <v>45831.164421296293</v>
      </c>
      <c r="D262" s="1">
        <v>45839.164421296293</v>
      </c>
      <c r="E262" s="1">
        <v>45841.164421296293</v>
      </c>
      <c r="F262">
        <f>HotelSales[[#This Row],[Check_Out]]-HotelSales[[#This Row],[Check_In]]</f>
        <v>2</v>
      </c>
      <c r="G262" t="s">
        <v>776</v>
      </c>
      <c r="H262" t="s">
        <v>777</v>
      </c>
      <c r="I262" t="s">
        <v>780</v>
      </c>
      <c r="J262">
        <v>2</v>
      </c>
      <c r="K262">
        <v>17000</v>
      </c>
      <c r="L262">
        <f>HotelSales[[#This Row],[Stay_Nights]]*HotelSales[[#This Row],[Room_Rate]]</f>
        <v>34000</v>
      </c>
      <c r="M262">
        <v>3000</v>
      </c>
      <c r="N262">
        <f>HotelSales[[#This Row],[Room_Revenue]]+HotelSales[[#This Row],[Restaurant_Spend]]</f>
        <v>37000</v>
      </c>
      <c r="O262" t="s">
        <v>787</v>
      </c>
    </row>
    <row r="263" spans="1:15">
      <c r="A263" t="s">
        <v>273</v>
      </c>
      <c r="B263" t="s">
        <v>695</v>
      </c>
      <c r="C263" s="2">
        <v>45831.193749999999</v>
      </c>
      <c r="D263" s="1">
        <v>45849.193749999999</v>
      </c>
      <c r="E263" s="1">
        <v>45852.193749999999</v>
      </c>
      <c r="F263">
        <f>HotelSales[[#This Row],[Check_Out]]-HotelSales[[#This Row],[Check_In]]</f>
        <v>3</v>
      </c>
      <c r="G263" t="s">
        <v>775</v>
      </c>
      <c r="H263" t="s">
        <v>777</v>
      </c>
      <c r="I263" t="s">
        <v>779</v>
      </c>
      <c r="J263">
        <v>2</v>
      </c>
      <c r="K263">
        <v>12000</v>
      </c>
      <c r="L263">
        <f>HotelSales[[#This Row],[Stay_Nights]]*HotelSales[[#This Row],[Room_Rate]]</f>
        <v>36000</v>
      </c>
      <c r="M263">
        <v>3500</v>
      </c>
      <c r="N263">
        <f>HotelSales[[#This Row],[Room_Revenue]]+HotelSales[[#This Row],[Restaurant_Spend]]</f>
        <v>39500</v>
      </c>
      <c r="O263" t="s">
        <v>786</v>
      </c>
    </row>
    <row r="264" spans="1:15">
      <c r="A264" t="s">
        <v>274</v>
      </c>
      <c r="B264" t="s">
        <v>696</v>
      </c>
      <c r="C264" s="2">
        <v>45831.749212962961</v>
      </c>
      <c r="D264" s="1">
        <v>45832.749212962961</v>
      </c>
      <c r="E264" s="1">
        <v>45839.749212962961</v>
      </c>
      <c r="F264">
        <f>HotelSales[[#This Row],[Check_Out]]-HotelSales[[#This Row],[Check_In]]</f>
        <v>7</v>
      </c>
      <c r="G264" t="s">
        <v>776</v>
      </c>
      <c r="H264" t="s">
        <v>778</v>
      </c>
      <c r="I264" t="s">
        <v>781</v>
      </c>
      <c r="J264">
        <v>2</v>
      </c>
      <c r="K264">
        <v>17000</v>
      </c>
      <c r="L264">
        <f>HotelSales[[#This Row],[Stay_Nights]]*HotelSales[[#This Row],[Room_Rate]]</f>
        <v>119000</v>
      </c>
      <c r="M264">
        <v>5500</v>
      </c>
      <c r="N264">
        <f>HotelSales[[#This Row],[Room_Revenue]]+HotelSales[[#This Row],[Restaurant_Spend]]</f>
        <v>124500</v>
      </c>
      <c r="O264" t="s">
        <v>783</v>
      </c>
    </row>
    <row r="265" spans="1:15">
      <c r="A265" t="s">
        <v>275</v>
      </c>
      <c r="B265" t="s">
        <v>584</v>
      </c>
      <c r="C265" s="2">
        <v>45833.381874999999</v>
      </c>
      <c r="D265" s="1">
        <v>45851.381874999999</v>
      </c>
      <c r="E265" s="1">
        <v>45857.381874999999</v>
      </c>
      <c r="F265">
        <f>HotelSales[[#This Row],[Check_Out]]-HotelSales[[#This Row],[Check_In]]</f>
        <v>6</v>
      </c>
      <c r="G265" t="s">
        <v>775</v>
      </c>
      <c r="H265" t="s">
        <v>777</v>
      </c>
      <c r="I265" t="s">
        <v>780</v>
      </c>
      <c r="J265">
        <v>1</v>
      </c>
      <c r="K265">
        <v>13000</v>
      </c>
      <c r="L265">
        <f>HotelSales[[#This Row],[Stay_Nights]]*HotelSales[[#This Row],[Room_Rate]]</f>
        <v>78000</v>
      </c>
      <c r="M265">
        <v>7500</v>
      </c>
      <c r="N265">
        <f>HotelSales[[#This Row],[Room_Revenue]]+HotelSales[[#This Row],[Restaurant_Spend]]</f>
        <v>85500</v>
      </c>
      <c r="O265" t="s">
        <v>783</v>
      </c>
    </row>
    <row r="266" spans="1:15">
      <c r="A266" t="s">
        <v>276</v>
      </c>
      <c r="B266" t="s">
        <v>697</v>
      </c>
      <c r="C266" s="2">
        <v>45834.03125</v>
      </c>
      <c r="D266" s="1">
        <v>45847.03125</v>
      </c>
      <c r="E266" s="1">
        <v>45853.03125</v>
      </c>
      <c r="F266">
        <f>HotelSales[[#This Row],[Check_Out]]-HotelSales[[#This Row],[Check_In]]</f>
        <v>6</v>
      </c>
      <c r="G266" t="s">
        <v>775</v>
      </c>
      <c r="H266" t="s">
        <v>778</v>
      </c>
      <c r="I266" t="s">
        <v>780</v>
      </c>
      <c r="J266">
        <v>2</v>
      </c>
      <c r="K266">
        <v>12000</v>
      </c>
      <c r="L266">
        <f>HotelSales[[#This Row],[Stay_Nights]]*HotelSales[[#This Row],[Room_Rate]]</f>
        <v>72000</v>
      </c>
      <c r="M266">
        <v>5500</v>
      </c>
      <c r="N266">
        <f>HotelSales[[#This Row],[Room_Revenue]]+HotelSales[[#This Row],[Restaurant_Spend]]</f>
        <v>77500</v>
      </c>
      <c r="O266" t="s">
        <v>785</v>
      </c>
    </row>
    <row r="267" spans="1:15">
      <c r="A267" t="s">
        <v>277</v>
      </c>
      <c r="B267" t="s">
        <v>698</v>
      </c>
      <c r="C267" s="2">
        <v>45834.91746527778</v>
      </c>
      <c r="D267" s="1">
        <v>45858.91746527778</v>
      </c>
      <c r="E267" s="1">
        <v>45861.91746527778</v>
      </c>
      <c r="F267">
        <f>HotelSales[[#This Row],[Check_Out]]-HotelSales[[#This Row],[Check_In]]</f>
        <v>3</v>
      </c>
      <c r="G267" t="s">
        <v>775</v>
      </c>
      <c r="H267" t="s">
        <v>778</v>
      </c>
      <c r="I267" t="s">
        <v>779</v>
      </c>
      <c r="J267">
        <v>1</v>
      </c>
      <c r="K267">
        <v>13000</v>
      </c>
      <c r="L267">
        <f>HotelSales[[#This Row],[Stay_Nights]]*HotelSales[[#This Row],[Room_Rate]]</f>
        <v>39000</v>
      </c>
      <c r="M267">
        <v>3000</v>
      </c>
      <c r="N267">
        <f>HotelSales[[#This Row],[Room_Revenue]]+HotelSales[[#This Row],[Restaurant_Spend]]</f>
        <v>42000</v>
      </c>
      <c r="O267" t="s">
        <v>783</v>
      </c>
    </row>
    <row r="268" spans="1:15">
      <c r="A268" t="s">
        <v>278</v>
      </c>
      <c r="B268" t="s">
        <v>699</v>
      </c>
      <c r="C268" s="2">
        <v>45836.572372685187</v>
      </c>
      <c r="D268" s="1">
        <v>45843.572372685187</v>
      </c>
      <c r="E268" s="1">
        <v>45848.572372685187</v>
      </c>
      <c r="F268">
        <f>HotelSales[[#This Row],[Check_Out]]-HotelSales[[#This Row],[Check_In]]</f>
        <v>5</v>
      </c>
      <c r="G268" t="s">
        <v>775</v>
      </c>
      <c r="H268" t="s">
        <v>777</v>
      </c>
      <c r="I268" t="s">
        <v>781</v>
      </c>
      <c r="J268">
        <v>2</v>
      </c>
      <c r="K268">
        <v>12000</v>
      </c>
      <c r="L268">
        <f>HotelSales[[#This Row],[Stay_Nights]]*HotelSales[[#This Row],[Room_Rate]]</f>
        <v>60000</v>
      </c>
      <c r="M268">
        <v>6500</v>
      </c>
      <c r="N268">
        <f>HotelSales[[#This Row],[Room_Revenue]]+HotelSales[[#This Row],[Restaurant_Spend]]</f>
        <v>66500</v>
      </c>
      <c r="O268" t="s">
        <v>783</v>
      </c>
    </row>
    <row r="269" spans="1:15">
      <c r="A269" t="s">
        <v>279</v>
      </c>
      <c r="B269" t="s">
        <v>549</v>
      </c>
      <c r="C269" s="2">
        <v>45837.860798611109</v>
      </c>
      <c r="D269" s="1">
        <v>45855.860798611109</v>
      </c>
      <c r="E269" s="1">
        <v>45858.860798611109</v>
      </c>
      <c r="F269">
        <f>HotelSales[[#This Row],[Check_Out]]-HotelSales[[#This Row],[Check_In]]</f>
        <v>3</v>
      </c>
      <c r="G269" t="s">
        <v>774</v>
      </c>
      <c r="H269" t="s">
        <v>777</v>
      </c>
      <c r="I269" t="s">
        <v>780</v>
      </c>
      <c r="J269">
        <v>2</v>
      </c>
      <c r="K269">
        <v>31000</v>
      </c>
      <c r="L269">
        <f>HotelSales[[#This Row],[Stay_Nights]]*HotelSales[[#This Row],[Room_Rate]]</f>
        <v>93000</v>
      </c>
      <c r="M269">
        <v>9000</v>
      </c>
      <c r="N269">
        <f>HotelSales[[#This Row],[Room_Revenue]]+HotelSales[[#This Row],[Restaurant_Spend]]</f>
        <v>102000</v>
      </c>
      <c r="O269" t="s">
        <v>782</v>
      </c>
    </row>
    <row r="270" spans="1:15">
      <c r="A270" t="s">
        <v>280</v>
      </c>
      <c r="B270" t="s">
        <v>601</v>
      </c>
      <c r="C270" s="2">
        <v>45837.863240740742</v>
      </c>
      <c r="D270" s="1">
        <v>45856.863240740742</v>
      </c>
      <c r="E270" s="1">
        <v>45858.863240740742</v>
      </c>
      <c r="F270">
        <f>HotelSales[[#This Row],[Check_Out]]-HotelSales[[#This Row],[Check_In]]</f>
        <v>2</v>
      </c>
      <c r="G270" t="s">
        <v>775</v>
      </c>
      <c r="H270" t="s">
        <v>778</v>
      </c>
      <c r="I270" t="s">
        <v>779</v>
      </c>
      <c r="J270">
        <v>4</v>
      </c>
      <c r="K270">
        <v>11000</v>
      </c>
      <c r="L270">
        <f>HotelSales[[#This Row],[Stay_Nights]]*HotelSales[[#This Row],[Room_Rate]]</f>
        <v>22000</v>
      </c>
      <c r="M270">
        <v>8000</v>
      </c>
      <c r="N270">
        <f>HotelSales[[#This Row],[Room_Revenue]]+HotelSales[[#This Row],[Restaurant_Spend]]</f>
        <v>30000</v>
      </c>
      <c r="O270" t="s">
        <v>786</v>
      </c>
    </row>
    <row r="271" spans="1:15">
      <c r="A271" t="s">
        <v>281</v>
      </c>
      <c r="B271" t="s">
        <v>594</v>
      </c>
      <c r="C271" s="2">
        <v>45838.648680555547</v>
      </c>
      <c r="D271" s="1">
        <v>45867.648680555547</v>
      </c>
      <c r="E271" s="1">
        <v>45869.648680555547</v>
      </c>
      <c r="F271">
        <f>HotelSales[[#This Row],[Check_Out]]-HotelSales[[#This Row],[Check_In]]</f>
        <v>2</v>
      </c>
      <c r="G271" t="s">
        <v>775</v>
      </c>
      <c r="H271" t="s">
        <v>777</v>
      </c>
      <c r="I271" t="s">
        <v>780</v>
      </c>
      <c r="J271">
        <v>3</v>
      </c>
      <c r="K271">
        <v>12000</v>
      </c>
      <c r="L271">
        <f>HotelSales[[#This Row],[Stay_Nights]]*HotelSales[[#This Row],[Room_Rate]]</f>
        <v>24000</v>
      </c>
      <c r="M271">
        <v>3500</v>
      </c>
      <c r="N271">
        <f>HotelSales[[#This Row],[Room_Revenue]]+HotelSales[[#This Row],[Restaurant_Spend]]</f>
        <v>27500</v>
      </c>
      <c r="O271" t="s">
        <v>785</v>
      </c>
    </row>
    <row r="272" spans="1:15">
      <c r="A272" t="s">
        <v>282</v>
      </c>
      <c r="B272" t="s">
        <v>603</v>
      </c>
      <c r="C272" s="2">
        <v>45839.137777777767</v>
      </c>
      <c r="D272" s="1">
        <v>45856.137777777767</v>
      </c>
      <c r="E272" s="1">
        <v>45863.137777777767</v>
      </c>
      <c r="F272">
        <f>HotelSales[[#This Row],[Check_Out]]-HotelSales[[#This Row],[Check_In]]</f>
        <v>7</v>
      </c>
      <c r="G272" t="s">
        <v>775</v>
      </c>
      <c r="H272" t="s">
        <v>778</v>
      </c>
      <c r="I272" t="s">
        <v>780</v>
      </c>
      <c r="J272">
        <v>4</v>
      </c>
      <c r="K272">
        <v>12000</v>
      </c>
      <c r="L272">
        <f>HotelSales[[#This Row],[Stay_Nights]]*HotelSales[[#This Row],[Room_Rate]]</f>
        <v>84000</v>
      </c>
      <c r="M272">
        <v>2500</v>
      </c>
      <c r="N272">
        <f>HotelSales[[#This Row],[Room_Revenue]]+HotelSales[[#This Row],[Restaurant_Spend]]</f>
        <v>86500</v>
      </c>
      <c r="O272" t="s">
        <v>785</v>
      </c>
    </row>
    <row r="273" spans="1:15">
      <c r="A273" t="s">
        <v>283</v>
      </c>
      <c r="B273" t="s">
        <v>586</v>
      </c>
      <c r="C273" s="2">
        <v>45839.523090277777</v>
      </c>
      <c r="D273" s="1">
        <v>45864.523090277777</v>
      </c>
      <c r="E273" s="1">
        <v>45868.523090277777</v>
      </c>
      <c r="F273">
        <f>HotelSales[[#This Row],[Check_Out]]-HotelSales[[#This Row],[Check_In]]</f>
        <v>4</v>
      </c>
      <c r="G273" t="s">
        <v>775</v>
      </c>
      <c r="H273" t="s">
        <v>777</v>
      </c>
      <c r="I273" t="s">
        <v>780</v>
      </c>
      <c r="J273">
        <v>1</v>
      </c>
      <c r="K273">
        <v>11000</v>
      </c>
      <c r="L273">
        <f>HotelSales[[#This Row],[Stay_Nights]]*HotelSales[[#This Row],[Room_Rate]]</f>
        <v>44000</v>
      </c>
      <c r="M273">
        <v>7500</v>
      </c>
      <c r="N273">
        <f>HotelSales[[#This Row],[Room_Revenue]]+HotelSales[[#This Row],[Restaurant_Spend]]</f>
        <v>51500</v>
      </c>
      <c r="O273" t="s">
        <v>786</v>
      </c>
    </row>
    <row r="274" spans="1:15">
      <c r="A274" t="s">
        <v>284</v>
      </c>
      <c r="B274" t="s">
        <v>700</v>
      </c>
      <c r="C274" s="2">
        <v>45840.108900462961</v>
      </c>
      <c r="D274" s="1">
        <v>45855.108900462961</v>
      </c>
      <c r="E274" s="1">
        <v>45858.108900462961</v>
      </c>
      <c r="F274">
        <f>HotelSales[[#This Row],[Check_Out]]-HotelSales[[#This Row],[Check_In]]</f>
        <v>3</v>
      </c>
      <c r="G274" t="s">
        <v>776</v>
      </c>
      <c r="H274" t="s">
        <v>778</v>
      </c>
      <c r="I274" t="s">
        <v>781</v>
      </c>
      <c r="J274">
        <v>3</v>
      </c>
      <c r="K274">
        <v>17000</v>
      </c>
      <c r="L274">
        <f>HotelSales[[#This Row],[Stay_Nights]]*HotelSales[[#This Row],[Room_Rate]]</f>
        <v>51000</v>
      </c>
      <c r="M274">
        <v>5000</v>
      </c>
      <c r="N274">
        <f>HotelSales[[#This Row],[Room_Revenue]]+HotelSales[[#This Row],[Restaurant_Spend]]</f>
        <v>56000</v>
      </c>
      <c r="O274" t="s">
        <v>785</v>
      </c>
    </row>
    <row r="275" spans="1:15">
      <c r="A275" t="s">
        <v>285</v>
      </c>
      <c r="B275" t="s">
        <v>701</v>
      </c>
      <c r="C275" s="2">
        <v>45840.729201388887</v>
      </c>
      <c r="D275" s="1">
        <v>45845.729201388887</v>
      </c>
      <c r="E275" s="1">
        <v>45851.729201388887</v>
      </c>
      <c r="F275">
        <f>HotelSales[[#This Row],[Check_Out]]-HotelSales[[#This Row],[Check_In]]</f>
        <v>6</v>
      </c>
      <c r="G275" t="s">
        <v>776</v>
      </c>
      <c r="H275" t="s">
        <v>778</v>
      </c>
      <c r="I275" t="s">
        <v>781</v>
      </c>
      <c r="J275">
        <v>3</v>
      </c>
      <c r="K275">
        <v>19000</v>
      </c>
      <c r="L275">
        <f>HotelSales[[#This Row],[Stay_Nights]]*HotelSales[[#This Row],[Room_Rate]]</f>
        <v>114000</v>
      </c>
      <c r="M275">
        <v>10500</v>
      </c>
      <c r="N275">
        <f>HotelSales[[#This Row],[Room_Revenue]]+HotelSales[[#This Row],[Restaurant_Spend]]</f>
        <v>124500</v>
      </c>
      <c r="O275" t="s">
        <v>787</v>
      </c>
    </row>
    <row r="276" spans="1:15">
      <c r="A276" t="s">
        <v>286</v>
      </c>
      <c r="B276" t="s">
        <v>515</v>
      </c>
      <c r="C276" s="2">
        <v>45841.041990740741</v>
      </c>
      <c r="D276" s="1">
        <v>45868.041990740741</v>
      </c>
      <c r="E276" s="1">
        <v>45871.041990740741</v>
      </c>
      <c r="F276">
        <f>HotelSales[[#This Row],[Check_Out]]-HotelSales[[#This Row],[Check_In]]</f>
        <v>3</v>
      </c>
      <c r="G276" t="s">
        <v>776</v>
      </c>
      <c r="H276" t="s">
        <v>777</v>
      </c>
      <c r="I276" t="s">
        <v>780</v>
      </c>
      <c r="J276">
        <v>4</v>
      </c>
      <c r="K276">
        <v>19000</v>
      </c>
      <c r="L276">
        <f>HotelSales[[#This Row],[Stay_Nights]]*HotelSales[[#This Row],[Room_Rate]]</f>
        <v>57000</v>
      </c>
      <c r="M276">
        <v>8000</v>
      </c>
      <c r="N276">
        <f>HotelSales[[#This Row],[Room_Revenue]]+HotelSales[[#This Row],[Restaurant_Spend]]</f>
        <v>65000</v>
      </c>
      <c r="O276" t="s">
        <v>783</v>
      </c>
    </row>
    <row r="277" spans="1:15">
      <c r="A277" t="s">
        <v>287</v>
      </c>
      <c r="B277" t="s">
        <v>702</v>
      </c>
      <c r="C277" s="2">
        <v>45841.834918981483</v>
      </c>
      <c r="D277" s="1">
        <v>45870.834918981483</v>
      </c>
      <c r="E277" s="1">
        <v>45877.834918981483</v>
      </c>
      <c r="F277">
        <f>HotelSales[[#This Row],[Check_Out]]-HotelSales[[#This Row],[Check_In]]</f>
        <v>7</v>
      </c>
      <c r="G277" t="s">
        <v>775</v>
      </c>
      <c r="H277" t="s">
        <v>778</v>
      </c>
      <c r="I277" t="s">
        <v>780</v>
      </c>
      <c r="J277">
        <v>1</v>
      </c>
      <c r="K277">
        <v>11000</v>
      </c>
      <c r="L277">
        <f>HotelSales[[#This Row],[Stay_Nights]]*HotelSales[[#This Row],[Room_Rate]]</f>
        <v>77000</v>
      </c>
      <c r="M277">
        <v>9500</v>
      </c>
      <c r="N277">
        <f>HotelSales[[#This Row],[Room_Revenue]]+HotelSales[[#This Row],[Restaurant_Spend]]</f>
        <v>86500</v>
      </c>
      <c r="O277" t="s">
        <v>785</v>
      </c>
    </row>
    <row r="278" spans="1:15">
      <c r="A278" t="s">
        <v>288</v>
      </c>
      <c r="B278" t="s">
        <v>703</v>
      </c>
      <c r="C278" s="2">
        <v>45842.396249999998</v>
      </c>
      <c r="D278" s="1">
        <v>45850.396249999998</v>
      </c>
      <c r="E278" s="1">
        <v>45851.396249999998</v>
      </c>
      <c r="F278">
        <f>HotelSales[[#This Row],[Check_Out]]-HotelSales[[#This Row],[Check_In]]</f>
        <v>1</v>
      </c>
      <c r="G278" t="s">
        <v>776</v>
      </c>
      <c r="H278" t="s">
        <v>778</v>
      </c>
      <c r="I278" t="s">
        <v>781</v>
      </c>
      <c r="J278">
        <v>3</v>
      </c>
      <c r="K278">
        <v>17000</v>
      </c>
      <c r="L278">
        <f>HotelSales[[#This Row],[Stay_Nights]]*HotelSales[[#This Row],[Room_Rate]]</f>
        <v>17000</v>
      </c>
      <c r="M278">
        <v>7000</v>
      </c>
      <c r="N278">
        <f>HotelSales[[#This Row],[Room_Revenue]]+HotelSales[[#This Row],[Restaurant_Spend]]</f>
        <v>24000</v>
      </c>
      <c r="O278" t="s">
        <v>786</v>
      </c>
    </row>
    <row r="279" spans="1:15">
      <c r="A279" t="s">
        <v>289</v>
      </c>
      <c r="B279" t="s">
        <v>704</v>
      </c>
      <c r="C279" s="2">
        <v>45842.760613425933</v>
      </c>
      <c r="D279" s="1">
        <v>45872.760613425933</v>
      </c>
      <c r="E279" s="1">
        <v>45877.760613425933</v>
      </c>
      <c r="F279">
        <f>HotelSales[[#This Row],[Check_Out]]-HotelSales[[#This Row],[Check_In]]</f>
        <v>5</v>
      </c>
      <c r="G279" t="s">
        <v>776</v>
      </c>
      <c r="H279" t="s">
        <v>777</v>
      </c>
      <c r="I279" t="s">
        <v>780</v>
      </c>
      <c r="J279">
        <v>3</v>
      </c>
      <c r="K279">
        <v>19000</v>
      </c>
      <c r="L279">
        <f>HotelSales[[#This Row],[Stay_Nights]]*HotelSales[[#This Row],[Room_Rate]]</f>
        <v>95000</v>
      </c>
      <c r="M279">
        <v>4500</v>
      </c>
      <c r="N279">
        <f>HotelSales[[#This Row],[Room_Revenue]]+HotelSales[[#This Row],[Restaurant_Spend]]</f>
        <v>99500</v>
      </c>
      <c r="O279" t="s">
        <v>786</v>
      </c>
    </row>
    <row r="280" spans="1:15">
      <c r="A280" t="s">
        <v>290</v>
      </c>
      <c r="B280" t="s">
        <v>618</v>
      </c>
      <c r="C280" s="2">
        <v>45843.716516203713</v>
      </c>
      <c r="D280" s="1">
        <v>45851.716516203713</v>
      </c>
      <c r="E280" s="1">
        <v>45853.716516203713</v>
      </c>
      <c r="F280">
        <f>HotelSales[[#This Row],[Check_Out]]-HotelSales[[#This Row],[Check_In]]</f>
        <v>2</v>
      </c>
      <c r="G280" t="s">
        <v>775</v>
      </c>
      <c r="H280" t="s">
        <v>778</v>
      </c>
      <c r="I280" t="s">
        <v>780</v>
      </c>
      <c r="J280">
        <v>3</v>
      </c>
      <c r="K280">
        <v>13000</v>
      </c>
      <c r="L280">
        <f>HotelSales[[#This Row],[Stay_Nights]]*HotelSales[[#This Row],[Room_Rate]]</f>
        <v>26000</v>
      </c>
      <c r="M280">
        <v>6000</v>
      </c>
      <c r="N280">
        <f>HotelSales[[#This Row],[Room_Revenue]]+HotelSales[[#This Row],[Restaurant_Spend]]</f>
        <v>32000</v>
      </c>
      <c r="O280" t="s">
        <v>787</v>
      </c>
    </row>
    <row r="281" spans="1:15">
      <c r="A281" t="s">
        <v>291</v>
      </c>
      <c r="B281" t="s">
        <v>705</v>
      </c>
      <c r="C281" s="2">
        <v>45844.102372685193</v>
      </c>
      <c r="D281" s="1">
        <v>45848.102372685193</v>
      </c>
      <c r="E281" s="1">
        <v>45854.102372685193</v>
      </c>
      <c r="F281">
        <f>HotelSales[[#This Row],[Check_Out]]-HotelSales[[#This Row],[Check_In]]</f>
        <v>6</v>
      </c>
      <c r="G281" t="s">
        <v>776</v>
      </c>
      <c r="H281" t="s">
        <v>778</v>
      </c>
      <c r="I281" t="s">
        <v>780</v>
      </c>
      <c r="J281">
        <v>2</v>
      </c>
      <c r="K281">
        <v>17000</v>
      </c>
      <c r="L281">
        <f>HotelSales[[#This Row],[Stay_Nights]]*HotelSales[[#This Row],[Room_Rate]]</f>
        <v>102000</v>
      </c>
      <c r="M281">
        <v>4000</v>
      </c>
      <c r="N281">
        <f>HotelSales[[#This Row],[Room_Revenue]]+HotelSales[[#This Row],[Restaurant_Spend]]</f>
        <v>106000</v>
      </c>
      <c r="O281" t="s">
        <v>786</v>
      </c>
    </row>
    <row r="282" spans="1:15">
      <c r="A282" t="s">
        <v>292</v>
      </c>
      <c r="B282" t="s">
        <v>653</v>
      </c>
      <c r="C282" s="2">
        <v>45844.33388888889</v>
      </c>
      <c r="D282" s="1">
        <v>45858.33388888889</v>
      </c>
      <c r="E282" s="1">
        <v>45864.33388888889</v>
      </c>
      <c r="F282">
        <f>HotelSales[[#This Row],[Check_Out]]-HotelSales[[#This Row],[Check_In]]</f>
        <v>6</v>
      </c>
      <c r="G282" t="s">
        <v>775</v>
      </c>
      <c r="H282" t="s">
        <v>777</v>
      </c>
      <c r="I282" t="s">
        <v>781</v>
      </c>
      <c r="J282">
        <v>1</v>
      </c>
      <c r="K282">
        <v>13000</v>
      </c>
      <c r="L282">
        <f>HotelSales[[#This Row],[Stay_Nights]]*HotelSales[[#This Row],[Room_Rate]]</f>
        <v>78000</v>
      </c>
      <c r="M282">
        <v>9000</v>
      </c>
      <c r="N282">
        <f>HotelSales[[#This Row],[Room_Revenue]]+HotelSales[[#This Row],[Restaurant_Spend]]</f>
        <v>87000</v>
      </c>
      <c r="O282" t="s">
        <v>785</v>
      </c>
    </row>
    <row r="283" spans="1:15">
      <c r="A283" t="s">
        <v>293</v>
      </c>
      <c r="B283" t="s">
        <v>706</v>
      </c>
      <c r="C283" s="2">
        <v>45845.085694444453</v>
      </c>
      <c r="D283" s="1">
        <v>45872.085694444453</v>
      </c>
      <c r="E283" s="1">
        <v>45877.085694444453</v>
      </c>
      <c r="F283">
        <f>HotelSales[[#This Row],[Check_Out]]-HotelSales[[#This Row],[Check_In]]</f>
        <v>5</v>
      </c>
      <c r="G283" t="s">
        <v>776</v>
      </c>
      <c r="H283" t="s">
        <v>778</v>
      </c>
      <c r="I283" t="s">
        <v>780</v>
      </c>
      <c r="J283">
        <v>4</v>
      </c>
      <c r="K283">
        <v>17000</v>
      </c>
      <c r="L283">
        <f>HotelSales[[#This Row],[Stay_Nights]]*HotelSales[[#This Row],[Room_Rate]]</f>
        <v>85000</v>
      </c>
      <c r="M283">
        <v>0</v>
      </c>
      <c r="N283">
        <f>HotelSales[[#This Row],[Room_Revenue]]+HotelSales[[#This Row],[Restaurant_Spend]]</f>
        <v>85000</v>
      </c>
      <c r="O283" t="s">
        <v>785</v>
      </c>
    </row>
    <row r="284" spans="1:15">
      <c r="A284" t="s">
        <v>294</v>
      </c>
      <c r="B284" t="s">
        <v>707</v>
      </c>
      <c r="C284" s="2">
        <v>45847.275752314818</v>
      </c>
      <c r="D284" s="1">
        <v>45861.275752314818</v>
      </c>
      <c r="E284" s="1">
        <v>45863.275752314818</v>
      </c>
      <c r="F284">
        <f>HotelSales[[#This Row],[Check_Out]]-HotelSales[[#This Row],[Check_In]]</f>
        <v>2</v>
      </c>
      <c r="G284" t="s">
        <v>775</v>
      </c>
      <c r="H284" t="s">
        <v>778</v>
      </c>
      <c r="I284" t="s">
        <v>779</v>
      </c>
      <c r="J284">
        <v>3</v>
      </c>
      <c r="K284">
        <v>13000</v>
      </c>
      <c r="L284">
        <f>HotelSales[[#This Row],[Stay_Nights]]*HotelSales[[#This Row],[Room_Rate]]</f>
        <v>26000</v>
      </c>
      <c r="M284">
        <v>13500</v>
      </c>
      <c r="N284">
        <f>HotelSales[[#This Row],[Room_Revenue]]+HotelSales[[#This Row],[Restaurant_Spend]]</f>
        <v>39500</v>
      </c>
      <c r="O284" t="s">
        <v>787</v>
      </c>
    </row>
    <row r="285" spans="1:15">
      <c r="A285" t="s">
        <v>295</v>
      </c>
      <c r="B285" t="s">
        <v>708</v>
      </c>
      <c r="C285" s="2">
        <v>45848.21230324074</v>
      </c>
      <c r="D285" s="1">
        <v>45857.21230324074</v>
      </c>
      <c r="E285" s="1">
        <v>45861.21230324074</v>
      </c>
      <c r="F285">
        <f>HotelSales[[#This Row],[Check_Out]]-HotelSales[[#This Row],[Check_In]]</f>
        <v>4</v>
      </c>
      <c r="G285" t="s">
        <v>774</v>
      </c>
      <c r="H285" t="s">
        <v>778</v>
      </c>
      <c r="I285" t="s">
        <v>780</v>
      </c>
      <c r="J285">
        <v>2</v>
      </c>
      <c r="K285">
        <v>31000</v>
      </c>
      <c r="L285">
        <f>HotelSales[[#This Row],[Stay_Nights]]*HotelSales[[#This Row],[Room_Rate]]</f>
        <v>124000</v>
      </c>
      <c r="M285">
        <v>5500</v>
      </c>
      <c r="N285">
        <f>HotelSales[[#This Row],[Room_Revenue]]+HotelSales[[#This Row],[Restaurant_Spend]]</f>
        <v>129500</v>
      </c>
      <c r="O285" t="s">
        <v>786</v>
      </c>
    </row>
    <row r="286" spans="1:15">
      <c r="A286" t="s">
        <v>296</v>
      </c>
      <c r="B286" t="s">
        <v>625</v>
      </c>
      <c r="C286" s="2">
        <v>45848.480937499997</v>
      </c>
      <c r="D286" s="1">
        <v>45873.480937499997</v>
      </c>
      <c r="E286" s="1">
        <v>45876.480937499997</v>
      </c>
      <c r="F286">
        <f>HotelSales[[#This Row],[Check_Out]]-HotelSales[[#This Row],[Check_In]]</f>
        <v>3</v>
      </c>
      <c r="G286" t="s">
        <v>775</v>
      </c>
      <c r="H286" t="s">
        <v>778</v>
      </c>
      <c r="I286" t="s">
        <v>780</v>
      </c>
      <c r="J286">
        <v>3</v>
      </c>
      <c r="K286">
        <v>11000</v>
      </c>
      <c r="L286">
        <f>HotelSales[[#This Row],[Stay_Nights]]*HotelSales[[#This Row],[Room_Rate]]</f>
        <v>33000</v>
      </c>
      <c r="M286">
        <v>6500</v>
      </c>
      <c r="N286">
        <f>HotelSales[[#This Row],[Room_Revenue]]+HotelSales[[#This Row],[Restaurant_Spend]]</f>
        <v>39500</v>
      </c>
      <c r="O286" t="s">
        <v>782</v>
      </c>
    </row>
    <row r="287" spans="1:15">
      <c r="A287" t="s">
        <v>297</v>
      </c>
      <c r="B287" t="s">
        <v>703</v>
      </c>
      <c r="C287" s="2">
        <v>45849.111747685187</v>
      </c>
      <c r="D287" s="1">
        <v>45852.111747685187</v>
      </c>
      <c r="E287" s="1">
        <v>45859.111747685187</v>
      </c>
      <c r="F287">
        <f>HotelSales[[#This Row],[Check_Out]]-HotelSales[[#This Row],[Check_In]]</f>
        <v>7</v>
      </c>
      <c r="G287" t="s">
        <v>776</v>
      </c>
      <c r="H287" t="s">
        <v>778</v>
      </c>
      <c r="I287" t="s">
        <v>780</v>
      </c>
      <c r="J287">
        <v>4</v>
      </c>
      <c r="K287">
        <v>17000</v>
      </c>
      <c r="L287">
        <f>HotelSales[[#This Row],[Stay_Nights]]*HotelSales[[#This Row],[Room_Rate]]</f>
        <v>119000</v>
      </c>
      <c r="M287">
        <v>6000</v>
      </c>
      <c r="N287">
        <f>HotelSales[[#This Row],[Room_Revenue]]+HotelSales[[#This Row],[Restaurant_Spend]]</f>
        <v>125000</v>
      </c>
      <c r="O287" t="s">
        <v>787</v>
      </c>
    </row>
    <row r="288" spans="1:15">
      <c r="A288" t="s">
        <v>298</v>
      </c>
      <c r="B288" t="s">
        <v>572</v>
      </c>
      <c r="C288" s="2">
        <v>45849.382291666669</v>
      </c>
      <c r="D288" s="1">
        <v>45853.382291666669</v>
      </c>
      <c r="E288" s="1">
        <v>45860.382291666669</v>
      </c>
      <c r="F288">
        <f>HotelSales[[#This Row],[Check_Out]]-HotelSales[[#This Row],[Check_In]]</f>
        <v>7</v>
      </c>
      <c r="G288" t="s">
        <v>775</v>
      </c>
      <c r="H288" t="s">
        <v>777</v>
      </c>
      <c r="I288" t="s">
        <v>781</v>
      </c>
      <c r="J288">
        <v>2</v>
      </c>
      <c r="K288">
        <v>13000</v>
      </c>
      <c r="L288">
        <f>HotelSales[[#This Row],[Stay_Nights]]*HotelSales[[#This Row],[Room_Rate]]</f>
        <v>91000</v>
      </c>
      <c r="M288">
        <v>11500</v>
      </c>
      <c r="N288">
        <f>HotelSales[[#This Row],[Room_Revenue]]+HotelSales[[#This Row],[Restaurant_Spend]]</f>
        <v>102500</v>
      </c>
      <c r="O288" t="s">
        <v>785</v>
      </c>
    </row>
    <row r="289" spans="1:15">
      <c r="A289" t="s">
        <v>299</v>
      </c>
      <c r="B289" t="s">
        <v>669</v>
      </c>
      <c r="C289" s="2">
        <v>45849.751111111109</v>
      </c>
      <c r="D289" s="1">
        <v>45876.751111111109</v>
      </c>
      <c r="E289" s="1">
        <v>45879.751111111109</v>
      </c>
      <c r="F289">
        <f>HotelSales[[#This Row],[Check_Out]]-HotelSales[[#This Row],[Check_In]]</f>
        <v>3</v>
      </c>
      <c r="G289" t="s">
        <v>774</v>
      </c>
      <c r="H289" t="s">
        <v>777</v>
      </c>
      <c r="I289" t="s">
        <v>780</v>
      </c>
      <c r="J289">
        <v>2</v>
      </c>
      <c r="K289">
        <v>30000</v>
      </c>
      <c r="L289">
        <f>HotelSales[[#This Row],[Stay_Nights]]*HotelSales[[#This Row],[Room_Rate]]</f>
        <v>90000</v>
      </c>
      <c r="M289">
        <v>6500</v>
      </c>
      <c r="N289">
        <f>HotelSales[[#This Row],[Room_Revenue]]+HotelSales[[#This Row],[Restaurant_Spend]]</f>
        <v>96500</v>
      </c>
      <c r="O289" t="s">
        <v>785</v>
      </c>
    </row>
    <row r="290" spans="1:15">
      <c r="A290" t="s">
        <v>300</v>
      </c>
      <c r="B290" t="s">
        <v>561</v>
      </c>
      <c r="C290" s="2">
        <v>45849.93891203704</v>
      </c>
      <c r="D290" s="1">
        <v>45876.93891203704</v>
      </c>
      <c r="E290" s="1">
        <v>45883.93891203704</v>
      </c>
      <c r="F290">
        <f>HotelSales[[#This Row],[Check_Out]]-HotelSales[[#This Row],[Check_In]]</f>
        <v>7</v>
      </c>
      <c r="G290" t="s">
        <v>774</v>
      </c>
      <c r="H290" t="s">
        <v>778</v>
      </c>
      <c r="I290" t="s">
        <v>780</v>
      </c>
      <c r="J290">
        <v>4</v>
      </c>
      <c r="K290">
        <v>29000</v>
      </c>
      <c r="L290">
        <f>HotelSales[[#This Row],[Stay_Nights]]*HotelSales[[#This Row],[Room_Rate]]</f>
        <v>203000</v>
      </c>
      <c r="M290">
        <v>0</v>
      </c>
      <c r="N290">
        <f>HotelSales[[#This Row],[Room_Revenue]]+HotelSales[[#This Row],[Restaurant_Spend]]</f>
        <v>203000</v>
      </c>
      <c r="O290" t="s">
        <v>782</v>
      </c>
    </row>
    <row r="291" spans="1:15">
      <c r="A291" t="s">
        <v>301</v>
      </c>
      <c r="B291" t="s">
        <v>522</v>
      </c>
      <c r="C291" s="2">
        <v>45850.127187500002</v>
      </c>
      <c r="D291" s="1">
        <v>45868.127187500002</v>
      </c>
      <c r="E291" s="1">
        <v>45872.127187500002</v>
      </c>
      <c r="F291">
        <f>HotelSales[[#This Row],[Check_Out]]-HotelSales[[#This Row],[Check_In]]</f>
        <v>4</v>
      </c>
      <c r="G291" t="s">
        <v>776</v>
      </c>
      <c r="H291" t="s">
        <v>777</v>
      </c>
      <c r="I291" t="s">
        <v>779</v>
      </c>
      <c r="J291">
        <v>1</v>
      </c>
      <c r="K291">
        <v>19000</v>
      </c>
      <c r="L291">
        <f>HotelSales[[#This Row],[Stay_Nights]]*HotelSales[[#This Row],[Room_Rate]]</f>
        <v>76000</v>
      </c>
      <c r="M291">
        <v>8000</v>
      </c>
      <c r="N291">
        <f>HotelSales[[#This Row],[Room_Revenue]]+HotelSales[[#This Row],[Restaurant_Spend]]</f>
        <v>84000</v>
      </c>
      <c r="O291" t="s">
        <v>784</v>
      </c>
    </row>
    <row r="292" spans="1:15">
      <c r="A292" t="s">
        <v>302</v>
      </c>
      <c r="B292" t="s">
        <v>698</v>
      </c>
      <c r="C292" s="2">
        <v>45850.339733796303</v>
      </c>
      <c r="D292" s="1">
        <v>45880.339733796303</v>
      </c>
      <c r="E292" s="1">
        <v>45883.339733796303</v>
      </c>
      <c r="F292">
        <f>HotelSales[[#This Row],[Check_Out]]-HotelSales[[#This Row],[Check_In]]</f>
        <v>3</v>
      </c>
      <c r="G292" t="s">
        <v>775</v>
      </c>
      <c r="H292" t="s">
        <v>778</v>
      </c>
      <c r="I292" t="s">
        <v>780</v>
      </c>
      <c r="J292">
        <v>4</v>
      </c>
      <c r="K292">
        <v>13000</v>
      </c>
      <c r="L292">
        <f>HotelSales[[#This Row],[Stay_Nights]]*HotelSales[[#This Row],[Room_Rate]]</f>
        <v>39000</v>
      </c>
      <c r="M292">
        <v>4500</v>
      </c>
      <c r="N292">
        <f>HotelSales[[#This Row],[Room_Revenue]]+HotelSales[[#This Row],[Restaurant_Spend]]</f>
        <v>43500</v>
      </c>
      <c r="O292" t="s">
        <v>786</v>
      </c>
    </row>
    <row r="293" spans="1:15">
      <c r="A293" t="s">
        <v>303</v>
      </c>
      <c r="B293" t="s">
        <v>709</v>
      </c>
      <c r="C293" s="2">
        <v>45850.862129629633</v>
      </c>
      <c r="D293" s="1">
        <v>45858.862129629633</v>
      </c>
      <c r="E293" s="1">
        <v>45862.862129629633</v>
      </c>
      <c r="F293">
        <f>HotelSales[[#This Row],[Check_Out]]-HotelSales[[#This Row],[Check_In]]</f>
        <v>4</v>
      </c>
      <c r="G293" t="s">
        <v>776</v>
      </c>
      <c r="H293" t="s">
        <v>778</v>
      </c>
      <c r="I293" t="s">
        <v>780</v>
      </c>
      <c r="J293">
        <v>2</v>
      </c>
      <c r="K293">
        <v>18000</v>
      </c>
      <c r="L293">
        <f>HotelSales[[#This Row],[Stay_Nights]]*HotelSales[[#This Row],[Room_Rate]]</f>
        <v>72000</v>
      </c>
      <c r="M293">
        <v>11000</v>
      </c>
      <c r="N293">
        <f>HotelSales[[#This Row],[Room_Revenue]]+HotelSales[[#This Row],[Restaurant_Spend]]</f>
        <v>83000</v>
      </c>
      <c r="O293" t="s">
        <v>782</v>
      </c>
    </row>
    <row r="294" spans="1:15">
      <c r="A294" t="s">
        <v>304</v>
      </c>
      <c r="B294" t="s">
        <v>636</v>
      </c>
      <c r="C294" s="2">
        <v>45851.051388888889</v>
      </c>
      <c r="D294" s="1">
        <v>45860.051388888889</v>
      </c>
      <c r="E294" s="1">
        <v>45863.051388888889</v>
      </c>
      <c r="F294">
        <f>HotelSales[[#This Row],[Check_Out]]-HotelSales[[#This Row],[Check_In]]</f>
        <v>3</v>
      </c>
      <c r="G294" t="s">
        <v>774</v>
      </c>
      <c r="H294" t="s">
        <v>778</v>
      </c>
      <c r="I294" t="s">
        <v>779</v>
      </c>
      <c r="J294">
        <v>3</v>
      </c>
      <c r="K294">
        <v>29000</v>
      </c>
      <c r="L294">
        <f>HotelSales[[#This Row],[Stay_Nights]]*HotelSales[[#This Row],[Room_Rate]]</f>
        <v>87000</v>
      </c>
      <c r="M294">
        <v>3000</v>
      </c>
      <c r="N294">
        <f>HotelSales[[#This Row],[Room_Revenue]]+HotelSales[[#This Row],[Restaurant_Spend]]</f>
        <v>90000</v>
      </c>
      <c r="O294" t="s">
        <v>784</v>
      </c>
    </row>
    <row r="295" spans="1:15">
      <c r="A295" t="s">
        <v>305</v>
      </c>
      <c r="B295" t="s">
        <v>567</v>
      </c>
      <c r="C295" s="2">
        <v>45851.160740740743</v>
      </c>
      <c r="D295" s="1">
        <v>45867.160740740743</v>
      </c>
      <c r="E295" s="1">
        <v>45870.160740740743</v>
      </c>
      <c r="F295">
        <f>HotelSales[[#This Row],[Check_Out]]-HotelSales[[#This Row],[Check_In]]</f>
        <v>3</v>
      </c>
      <c r="G295" t="s">
        <v>776</v>
      </c>
      <c r="H295" t="s">
        <v>777</v>
      </c>
      <c r="I295" t="s">
        <v>779</v>
      </c>
      <c r="J295">
        <v>4</v>
      </c>
      <c r="K295">
        <v>17000</v>
      </c>
      <c r="L295">
        <f>HotelSales[[#This Row],[Stay_Nights]]*HotelSales[[#This Row],[Room_Rate]]</f>
        <v>51000</v>
      </c>
      <c r="M295">
        <v>9500</v>
      </c>
      <c r="N295">
        <f>HotelSales[[#This Row],[Room_Revenue]]+HotelSales[[#This Row],[Restaurant_Spend]]</f>
        <v>60500</v>
      </c>
      <c r="O295" t="s">
        <v>787</v>
      </c>
    </row>
    <row r="296" spans="1:15">
      <c r="A296" t="s">
        <v>306</v>
      </c>
      <c r="B296" t="s">
        <v>710</v>
      </c>
      <c r="C296" s="2">
        <v>45851.710798611108</v>
      </c>
      <c r="D296" s="1">
        <v>45881.710798611108</v>
      </c>
      <c r="E296" s="1">
        <v>45886.710798611108</v>
      </c>
      <c r="F296">
        <f>HotelSales[[#This Row],[Check_Out]]-HotelSales[[#This Row],[Check_In]]</f>
        <v>5</v>
      </c>
      <c r="G296" t="s">
        <v>774</v>
      </c>
      <c r="H296" t="s">
        <v>778</v>
      </c>
      <c r="I296" t="s">
        <v>781</v>
      </c>
      <c r="J296">
        <v>2</v>
      </c>
      <c r="K296">
        <v>30000</v>
      </c>
      <c r="L296">
        <f>HotelSales[[#This Row],[Stay_Nights]]*HotelSales[[#This Row],[Room_Rate]]</f>
        <v>150000</v>
      </c>
      <c r="M296">
        <v>4500</v>
      </c>
      <c r="N296">
        <f>HotelSales[[#This Row],[Room_Revenue]]+HotelSales[[#This Row],[Restaurant_Spend]]</f>
        <v>154500</v>
      </c>
      <c r="O296" t="s">
        <v>784</v>
      </c>
    </row>
    <row r="297" spans="1:15">
      <c r="A297" t="s">
        <v>307</v>
      </c>
      <c r="B297" t="s">
        <v>711</v>
      </c>
      <c r="C297" s="2">
        <v>45851.881122685183</v>
      </c>
      <c r="D297" s="1">
        <v>45854.881122685183</v>
      </c>
      <c r="E297" s="1">
        <v>45857.881122685183</v>
      </c>
      <c r="F297">
        <f>HotelSales[[#This Row],[Check_Out]]-HotelSales[[#This Row],[Check_In]]</f>
        <v>3</v>
      </c>
      <c r="G297" t="s">
        <v>776</v>
      </c>
      <c r="H297" t="s">
        <v>777</v>
      </c>
      <c r="I297" t="s">
        <v>781</v>
      </c>
      <c r="J297">
        <v>2</v>
      </c>
      <c r="K297">
        <v>19000</v>
      </c>
      <c r="L297">
        <f>HotelSales[[#This Row],[Stay_Nights]]*HotelSales[[#This Row],[Room_Rate]]</f>
        <v>57000</v>
      </c>
      <c r="M297">
        <v>5000</v>
      </c>
      <c r="N297">
        <f>HotelSales[[#This Row],[Room_Revenue]]+HotelSales[[#This Row],[Restaurant_Spend]]</f>
        <v>62000</v>
      </c>
      <c r="O297" t="s">
        <v>786</v>
      </c>
    </row>
    <row r="298" spans="1:15">
      <c r="A298" t="s">
        <v>308</v>
      </c>
      <c r="B298" t="s">
        <v>693</v>
      </c>
      <c r="C298" s="2">
        <v>45853.999768518523</v>
      </c>
      <c r="D298" s="1">
        <v>45869.999768518523</v>
      </c>
      <c r="E298" s="1">
        <v>45875.999768518523</v>
      </c>
      <c r="F298">
        <f>HotelSales[[#This Row],[Check_Out]]-HotelSales[[#This Row],[Check_In]]</f>
        <v>6</v>
      </c>
      <c r="G298" t="s">
        <v>774</v>
      </c>
      <c r="H298" t="s">
        <v>778</v>
      </c>
      <c r="I298" t="s">
        <v>781</v>
      </c>
      <c r="J298">
        <v>2</v>
      </c>
      <c r="K298">
        <v>30000</v>
      </c>
      <c r="L298">
        <f>HotelSales[[#This Row],[Stay_Nights]]*HotelSales[[#This Row],[Room_Rate]]</f>
        <v>180000</v>
      </c>
      <c r="M298">
        <v>4500</v>
      </c>
      <c r="N298">
        <f>HotelSales[[#This Row],[Room_Revenue]]+HotelSales[[#This Row],[Restaurant_Spend]]</f>
        <v>184500</v>
      </c>
      <c r="O298" t="s">
        <v>782</v>
      </c>
    </row>
    <row r="299" spans="1:15">
      <c r="A299" t="s">
        <v>309</v>
      </c>
      <c r="B299" t="s">
        <v>629</v>
      </c>
      <c r="C299" s="2">
        <v>45854.041562500002</v>
      </c>
      <c r="D299" s="1">
        <v>45856.041562500002</v>
      </c>
      <c r="E299" s="1">
        <v>45858.041562500002</v>
      </c>
      <c r="F299">
        <f>HotelSales[[#This Row],[Check_Out]]-HotelSales[[#This Row],[Check_In]]</f>
        <v>2</v>
      </c>
      <c r="G299" t="s">
        <v>775</v>
      </c>
      <c r="H299" t="s">
        <v>778</v>
      </c>
      <c r="I299" t="s">
        <v>780</v>
      </c>
      <c r="J299">
        <v>2</v>
      </c>
      <c r="K299">
        <v>11000</v>
      </c>
      <c r="L299">
        <f>HotelSales[[#This Row],[Stay_Nights]]*HotelSales[[#This Row],[Room_Rate]]</f>
        <v>22000</v>
      </c>
      <c r="M299">
        <v>4500</v>
      </c>
      <c r="N299">
        <f>HotelSales[[#This Row],[Room_Revenue]]+HotelSales[[#This Row],[Restaurant_Spend]]</f>
        <v>26500</v>
      </c>
      <c r="O299" t="s">
        <v>787</v>
      </c>
    </row>
    <row r="300" spans="1:15">
      <c r="A300" t="s">
        <v>310</v>
      </c>
      <c r="B300" t="s">
        <v>712</v>
      </c>
      <c r="C300" s="2">
        <v>45855.855937499997</v>
      </c>
      <c r="D300" s="1">
        <v>45870.855937499997</v>
      </c>
      <c r="E300" s="1">
        <v>45873.855937499997</v>
      </c>
      <c r="F300">
        <f>HotelSales[[#This Row],[Check_Out]]-HotelSales[[#This Row],[Check_In]]</f>
        <v>3</v>
      </c>
      <c r="G300" t="s">
        <v>774</v>
      </c>
      <c r="H300" t="s">
        <v>778</v>
      </c>
      <c r="I300" t="s">
        <v>779</v>
      </c>
      <c r="J300">
        <v>1</v>
      </c>
      <c r="K300">
        <v>31000</v>
      </c>
      <c r="L300">
        <f>HotelSales[[#This Row],[Stay_Nights]]*HotelSales[[#This Row],[Room_Rate]]</f>
        <v>93000</v>
      </c>
      <c r="M300">
        <v>3000</v>
      </c>
      <c r="N300">
        <f>HotelSales[[#This Row],[Room_Revenue]]+HotelSales[[#This Row],[Restaurant_Spend]]</f>
        <v>96000</v>
      </c>
      <c r="O300" t="s">
        <v>782</v>
      </c>
    </row>
    <row r="301" spans="1:15">
      <c r="A301" t="s">
        <v>311</v>
      </c>
      <c r="B301" t="s">
        <v>590</v>
      </c>
      <c r="C301" s="2">
        <v>45857.755740740737</v>
      </c>
      <c r="D301" s="1">
        <v>45886.755740740737</v>
      </c>
      <c r="E301" s="1">
        <v>45891.755740740737</v>
      </c>
      <c r="F301">
        <f>HotelSales[[#This Row],[Check_Out]]-HotelSales[[#This Row],[Check_In]]</f>
        <v>5</v>
      </c>
      <c r="G301" t="s">
        <v>774</v>
      </c>
      <c r="H301" t="s">
        <v>778</v>
      </c>
      <c r="I301" t="s">
        <v>780</v>
      </c>
      <c r="J301">
        <v>1</v>
      </c>
      <c r="K301">
        <v>30000</v>
      </c>
      <c r="L301">
        <f>HotelSales[[#This Row],[Stay_Nights]]*HotelSales[[#This Row],[Room_Rate]]</f>
        <v>150000</v>
      </c>
      <c r="M301">
        <v>5000</v>
      </c>
      <c r="N301">
        <f>HotelSales[[#This Row],[Room_Revenue]]+HotelSales[[#This Row],[Restaurant_Spend]]</f>
        <v>155000</v>
      </c>
      <c r="O301" t="s">
        <v>787</v>
      </c>
    </row>
    <row r="302" spans="1:15">
      <c r="A302" t="s">
        <v>312</v>
      </c>
      <c r="B302" t="s">
        <v>674</v>
      </c>
      <c r="C302" s="2">
        <v>45858.357083333343</v>
      </c>
      <c r="D302" s="1">
        <v>45860.357083333343</v>
      </c>
      <c r="E302" s="1">
        <v>45862.357083333343</v>
      </c>
      <c r="F302">
        <f>HotelSales[[#This Row],[Check_Out]]-HotelSales[[#This Row],[Check_In]]</f>
        <v>2</v>
      </c>
      <c r="G302" t="s">
        <v>775</v>
      </c>
      <c r="H302" t="s">
        <v>778</v>
      </c>
      <c r="I302" t="s">
        <v>780</v>
      </c>
      <c r="J302">
        <v>2</v>
      </c>
      <c r="K302">
        <v>12000</v>
      </c>
      <c r="L302">
        <f>HotelSales[[#This Row],[Stay_Nights]]*HotelSales[[#This Row],[Room_Rate]]</f>
        <v>24000</v>
      </c>
      <c r="M302">
        <v>9000</v>
      </c>
      <c r="N302">
        <f>HotelSales[[#This Row],[Room_Revenue]]+HotelSales[[#This Row],[Restaurant_Spend]]</f>
        <v>33000</v>
      </c>
      <c r="O302" t="s">
        <v>785</v>
      </c>
    </row>
    <row r="303" spans="1:15">
      <c r="A303" t="s">
        <v>313</v>
      </c>
      <c r="B303" t="s">
        <v>574</v>
      </c>
      <c r="C303" s="2">
        <v>45858.839050925933</v>
      </c>
      <c r="D303" s="1">
        <v>45887.839050925933</v>
      </c>
      <c r="E303" s="1">
        <v>45888.839050925933</v>
      </c>
      <c r="F303">
        <f>HotelSales[[#This Row],[Check_Out]]-HotelSales[[#This Row],[Check_In]]</f>
        <v>1</v>
      </c>
      <c r="G303" t="s">
        <v>776</v>
      </c>
      <c r="H303" t="s">
        <v>778</v>
      </c>
      <c r="I303" t="s">
        <v>780</v>
      </c>
      <c r="J303">
        <v>4</v>
      </c>
      <c r="K303">
        <v>17000</v>
      </c>
      <c r="L303">
        <f>HotelSales[[#This Row],[Stay_Nights]]*HotelSales[[#This Row],[Room_Rate]]</f>
        <v>17000</v>
      </c>
      <c r="M303">
        <v>5500</v>
      </c>
      <c r="N303">
        <f>HotelSales[[#This Row],[Room_Revenue]]+HotelSales[[#This Row],[Restaurant_Spend]]</f>
        <v>22500</v>
      </c>
      <c r="O303" t="s">
        <v>783</v>
      </c>
    </row>
    <row r="304" spans="1:15">
      <c r="A304" t="s">
        <v>314</v>
      </c>
      <c r="B304" t="s">
        <v>713</v>
      </c>
      <c r="C304" s="2">
        <v>45861.295254629629</v>
      </c>
      <c r="D304" s="1">
        <v>45874.295254629629</v>
      </c>
      <c r="E304" s="1">
        <v>45876.295254629629</v>
      </c>
      <c r="F304">
        <f>HotelSales[[#This Row],[Check_Out]]-HotelSales[[#This Row],[Check_In]]</f>
        <v>2</v>
      </c>
      <c r="G304" t="s">
        <v>774</v>
      </c>
      <c r="H304" t="s">
        <v>778</v>
      </c>
      <c r="I304" t="s">
        <v>780</v>
      </c>
      <c r="J304">
        <v>4</v>
      </c>
      <c r="K304">
        <v>30000</v>
      </c>
      <c r="L304">
        <f>HotelSales[[#This Row],[Stay_Nights]]*HotelSales[[#This Row],[Room_Rate]]</f>
        <v>60000</v>
      </c>
      <c r="M304">
        <v>1500</v>
      </c>
      <c r="N304">
        <f>HotelSales[[#This Row],[Room_Revenue]]+HotelSales[[#This Row],[Restaurant_Spend]]</f>
        <v>61500</v>
      </c>
      <c r="O304" t="s">
        <v>784</v>
      </c>
    </row>
    <row r="305" spans="1:15">
      <c r="A305" t="s">
        <v>315</v>
      </c>
      <c r="B305" t="s">
        <v>714</v>
      </c>
      <c r="C305" s="2">
        <v>45861.683657407397</v>
      </c>
      <c r="D305" s="1">
        <v>45880.683657407397</v>
      </c>
      <c r="E305" s="1">
        <v>45887.683657407397</v>
      </c>
      <c r="F305">
        <f>HotelSales[[#This Row],[Check_Out]]-HotelSales[[#This Row],[Check_In]]</f>
        <v>7</v>
      </c>
      <c r="G305" t="s">
        <v>775</v>
      </c>
      <c r="H305" t="s">
        <v>778</v>
      </c>
      <c r="I305" t="s">
        <v>780</v>
      </c>
      <c r="J305">
        <v>2</v>
      </c>
      <c r="K305">
        <v>13000</v>
      </c>
      <c r="L305">
        <f>HotelSales[[#This Row],[Stay_Nights]]*HotelSales[[#This Row],[Room_Rate]]</f>
        <v>91000</v>
      </c>
      <c r="M305">
        <v>9000</v>
      </c>
      <c r="N305">
        <f>HotelSales[[#This Row],[Room_Revenue]]+HotelSales[[#This Row],[Restaurant_Spend]]</f>
        <v>100000</v>
      </c>
      <c r="O305" t="s">
        <v>784</v>
      </c>
    </row>
    <row r="306" spans="1:15">
      <c r="A306" t="s">
        <v>316</v>
      </c>
      <c r="B306" t="s">
        <v>598</v>
      </c>
      <c r="C306" s="2">
        <v>45861.943738425929</v>
      </c>
      <c r="D306" s="1">
        <v>45864.943738425929</v>
      </c>
      <c r="E306" s="1">
        <v>45866.943738425929</v>
      </c>
      <c r="F306">
        <f>HotelSales[[#This Row],[Check_Out]]-HotelSales[[#This Row],[Check_In]]</f>
        <v>2</v>
      </c>
      <c r="G306" t="s">
        <v>776</v>
      </c>
      <c r="H306" t="s">
        <v>778</v>
      </c>
      <c r="I306" t="s">
        <v>779</v>
      </c>
      <c r="J306">
        <v>4</v>
      </c>
      <c r="K306">
        <v>17000</v>
      </c>
      <c r="L306">
        <f>HotelSales[[#This Row],[Stay_Nights]]*HotelSales[[#This Row],[Room_Rate]]</f>
        <v>34000</v>
      </c>
      <c r="M306">
        <v>9500</v>
      </c>
      <c r="N306">
        <f>HotelSales[[#This Row],[Room_Revenue]]+HotelSales[[#This Row],[Restaurant_Spend]]</f>
        <v>43500</v>
      </c>
      <c r="O306" t="s">
        <v>784</v>
      </c>
    </row>
    <row r="307" spans="1:15">
      <c r="A307" t="s">
        <v>317</v>
      </c>
      <c r="B307" t="s">
        <v>715</v>
      </c>
      <c r="C307" s="2">
        <v>45862.577962962961</v>
      </c>
      <c r="D307" s="1">
        <v>45891.577962962961</v>
      </c>
      <c r="E307" s="1">
        <v>45893.577962962961</v>
      </c>
      <c r="F307">
        <f>HotelSales[[#This Row],[Check_Out]]-HotelSales[[#This Row],[Check_In]]</f>
        <v>2</v>
      </c>
      <c r="G307" t="s">
        <v>775</v>
      </c>
      <c r="H307" t="s">
        <v>778</v>
      </c>
      <c r="I307" t="s">
        <v>780</v>
      </c>
      <c r="J307">
        <v>3</v>
      </c>
      <c r="K307">
        <v>11000</v>
      </c>
      <c r="L307">
        <f>HotelSales[[#This Row],[Stay_Nights]]*HotelSales[[#This Row],[Room_Rate]]</f>
        <v>22000</v>
      </c>
      <c r="M307">
        <v>9500</v>
      </c>
      <c r="N307">
        <f>HotelSales[[#This Row],[Room_Revenue]]+HotelSales[[#This Row],[Restaurant_Spend]]</f>
        <v>31500</v>
      </c>
      <c r="O307" t="s">
        <v>782</v>
      </c>
    </row>
    <row r="308" spans="1:15">
      <c r="A308" t="s">
        <v>318</v>
      </c>
      <c r="B308" t="s">
        <v>716</v>
      </c>
      <c r="C308" s="2">
        <v>45864.211504629631</v>
      </c>
      <c r="D308" s="1">
        <v>45891.211504629631</v>
      </c>
      <c r="E308" s="1">
        <v>45898.211504629631</v>
      </c>
      <c r="F308">
        <f>HotelSales[[#This Row],[Check_Out]]-HotelSales[[#This Row],[Check_In]]</f>
        <v>7</v>
      </c>
      <c r="G308" t="s">
        <v>776</v>
      </c>
      <c r="H308" t="s">
        <v>777</v>
      </c>
      <c r="I308" t="s">
        <v>780</v>
      </c>
      <c r="J308">
        <v>4</v>
      </c>
      <c r="K308">
        <v>17000</v>
      </c>
      <c r="L308">
        <f>HotelSales[[#This Row],[Stay_Nights]]*HotelSales[[#This Row],[Room_Rate]]</f>
        <v>119000</v>
      </c>
      <c r="M308">
        <v>0</v>
      </c>
      <c r="N308">
        <f>HotelSales[[#This Row],[Room_Revenue]]+HotelSales[[#This Row],[Restaurant_Spend]]</f>
        <v>119000</v>
      </c>
      <c r="O308" t="s">
        <v>787</v>
      </c>
    </row>
    <row r="309" spans="1:15">
      <c r="A309" t="s">
        <v>319</v>
      </c>
      <c r="B309" t="s">
        <v>717</v>
      </c>
      <c r="C309" s="2">
        <v>45864.765706018523</v>
      </c>
      <c r="D309" s="1">
        <v>45884.765706018523</v>
      </c>
      <c r="E309" s="1">
        <v>45889.765706018523</v>
      </c>
      <c r="F309">
        <f>HotelSales[[#This Row],[Check_Out]]-HotelSales[[#This Row],[Check_In]]</f>
        <v>5</v>
      </c>
      <c r="G309" t="s">
        <v>774</v>
      </c>
      <c r="H309" t="s">
        <v>778</v>
      </c>
      <c r="I309" t="s">
        <v>781</v>
      </c>
      <c r="J309">
        <v>2</v>
      </c>
      <c r="K309">
        <v>31000</v>
      </c>
      <c r="L309">
        <f>HotelSales[[#This Row],[Stay_Nights]]*HotelSales[[#This Row],[Room_Rate]]</f>
        <v>155000</v>
      </c>
      <c r="M309">
        <v>9500</v>
      </c>
      <c r="N309">
        <f>HotelSales[[#This Row],[Room_Revenue]]+HotelSales[[#This Row],[Restaurant_Spend]]</f>
        <v>164500</v>
      </c>
      <c r="O309" t="s">
        <v>785</v>
      </c>
    </row>
    <row r="310" spans="1:15">
      <c r="A310" t="s">
        <v>320</v>
      </c>
      <c r="B310" t="s">
        <v>628</v>
      </c>
      <c r="C310" s="2">
        <v>45865.032465277778</v>
      </c>
      <c r="D310" s="1">
        <v>45891.032465277778</v>
      </c>
      <c r="E310" s="1">
        <v>45896.032465277778</v>
      </c>
      <c r="F310">
        <f>HotelSales[[#This Row],[Check_Out]]-HotelSales[[#This Row],[Check_In]]</f>
        <v>5</v>
      </c>
      <c r="G310" t="s">
        <v>775</v>
      </c>
      <c r="H310" t="s">
        <v>778</v>
      </c>
      <c r="I310" t="s">
        <v>780</v>
      </c>
      <c r="J310">
        <v>4</v>
      </c>
      <c r="K310">
        <v>13000</v>
      </c>
      <c r="L310">
        <f>HotelSales[[#This Row],[Stay_Nights]]*HotelSales[[#This Row],[Room_Rate]]</f>
        <v>65000</v>
      </c>
      <c r="M310">
        <v>7500</v>
      </c>
      <c r="N310">
        <f>HotelSales[[#This Row],[Room_Revenue]]+HotelSales[[#This Row],[Restaurant_Spend]]</f>
        <v>72500</v>
      </c>
      <c r="O310" t="s">
        <v>782</v>
      </c>
    </row>
    <row r="311" spans="1:15">
      <c r="A311" t="s">
        <v>321</v>
      </c>
      <c r="B311" t="s">
        <v>591</v>
      </c>
      <c r="C311" s="2">
        <v>45865.815567129634</v>
      </c>
      <c r="D311" s="1">
        <v>45872.815567129634</v>
      </c>
      <c r="E311" s="1">
        <v>45874.815567129634</v>
      </c>
      <c r="F311">
        <f>HotelSales[[#This Row],[Check_Out]]-HotelSales[[#This Row],[Check_In]]</f>
        <v>2</v>
      </c>
      <c r="G311" t="s">
        <v>774</v>
      </c>
      <c r="H311" t="s">
        <v>778</v>
      </c>
      <c r="I311" t="s">
        <v>781</v>
      </c>
      <c r="J311">
        <v>4</v>
      </c>
      <c r="K311">
        <v>29000</v>
      </c>
      <c r="L311">
        <f>HotelSales[[#This Row],[Stay_Nights]]*HotelSales[[#This Row],[Room_Rate]]</f>
        <v>58000</v>
      </c>
      <c r="M311">
        <v>3500</v>
      </c>
      <c r="N311">
        <f>HotelSales[[#This Row],[Room_Revenue]]+HotelSales[[#This Row],[Restaurant_Spend]]</f>
        <v>61500</v>
      </c>
      <c r="O311" t="s">
        <v>787</v>
      </c>
    </row>
    <row r="312" spans="1:15">
      <c r="A312" t="s">
        <v>322</v>
      </c>
      <c r="B312" t="s">
        <v>555</v>
      </c>
      <c r="C312" s="2">
        <v>45865.917858796303</v>
      </c>
      <c r="D312" s="1">
        <v>45894.917858796303</v>
      </c>
      <c r="E312" s="1">
        <v>45896.917858796303</v>
      </c>
      <c r="F312">
        <f>HotelSales[[#This Row],[Check_Out]]-HotelSales[[#This Row],[Check_In]]</f>
        <v>2</v>
      </c>
      <c r="G312" t="s">
        <v>775</v>
      </c>
      <c r="H312" t="s">
        <v>777</v>
      </c>
      <c r="I312" t="s">
        <v>780</v>
      </c>
      <c r="J312">
        <v>3</v>
      </c>
      <c r="K312">
        <v>11000</v>
      </c>
      <c r="L312">
        <f>HotelSales[[#This Row],[Stay_Nights]]*HotelSales[[#This Row],[Room_Rate]]</f>
        <v>22000</v>
      </c>
      <c r="M312">
        <v>7000</v>
      </c>
      <c r="N312">
        <f>HotelSales[[#This Row],[Room_Revenue]]+HotelSales[[#This Row],[Restaurant_Spend]]</f>
        <v>29000</v>
      </c>
      <c r="O312" t="s">
        <v>785</v>
      </c>
    </row>
    <row r="313" spans="1:15">
      <c r="A313" t="s">
        <v>323</v>
      </c>
      <c r="B313" t="s">
        <v>534</v>
      </c>
      <c r="C313" s="2">
        <v>45867.186712962961</v>
      </c>
      <c r="D313" s="1">
        <v>45888.186712962961</v>
      </c>
      <c r="E313" s="1">
        <v>45891.186712962961</v>
      </c>
      <c r="F313">
        <f>HotelSales[[#This Row],[Check_Out]]-HotelSales[[#This Row],[Check_In]]</f>
        <v>3</v>
      </c>
      <c r="G313" t="s">
        <v>775</v>
      </c>
      <c r="H313" t="s">
        <v>778</v>
      </c>
      <c r="I313" t="s">
        <v>780</v>
      </c>
      <c r="J313">
        <v>2</v>
      </c>
      <c r="K313">
        <v>13000</v>
      </c>
      <c r="L313">
        <f>HotelSales[[#This Row],[Stay_Nights]]*HotelSales[[#This Row],[Room_Rate]]</f>
        <v>39000</v>
      </c>
      <c r="M313">
        <v>6500</v>
      </c>
      <c r="N313">
        <f>HotelSales[[#This Row],[Room_Revenue]]+HotelSales[[#This Row],[Restaurant_Spend]]</f>
        <v>45500</v>
      </c>
      <c r="O313" t="s">
        <v>787</v>
      </c>
    </row>
    <row r="314" spans="1:15">
      <c r="A314" t="s">
        <v>324</v>
      </c>
      <c r="B314" t="s">
        <v>690</v>
      </c>
      <c r="C314" s="2">
        <v>45867.498831018522</v>
      </c>
      <c r="D314" s="1">
        <v>45894.498831018522</v>
      </c>
      <c r="E314" s="1">
        <v>45900.498831018522</v>
      </c>
      <c r="F314">
        <f>HotelSales[[#This Row],[Check_Out]]-HotelSales[[#This Row],[Check_In]]</f>
        <v>6</v>
      </c>
      <c r="G314" t="s">
        <v>776</v>
      </c>
      <c r="H314" t="s">
        <v>777</v>
      </c>
      <c r="I314" t="s">
        <v>780</v>
      </c>
      <c r="J314">
        <v>3</v>
      </c>
      <c r="K314">
        <v>19000</v>
      </c>
      <c r="L314">
        <f>HotelSales[[#This Row],[Stay_Nights]]*HotelSales[[#This Row],[Room_Rate]]</f>
        <v>114000</v>
      </c>
      <c r="M314">
        <v>15000</v>
      </c>
      <c r="N314">
        <f>HotelSales[[#This Row],[Room_Revenue]]+HotelSales[[#This Row],[Restaurant_Spend]]</f>
        <v>129000</v>
      </c>
      <c r="O314" t="s">
        <v>785</v>
      </c>
    </row>
    <row r="315" spans="1:15">
      <c r="A315" t="s">
        <v>325</v>
      </c>
      <c r="B315" t="s">
        <v>718</v>
      </c>
      <c r="C315" s="2">
        <v>45867.602002314823</v>
      </c>
      <c r="D315" s="1">
        <v>45879.602002314823</v>
      </c>
      <c r="E315" s="1">
        <v>45885.602002314823</v>
      </c>
      <c r="F315">
        <f>HotelSales[[#This Row],[Check_Out]]-HotelSales[[#This Row],[Check_In]]</f>
        <v>6</v>
      </c>
      <c r="G315" t="s">
        <v>776</v>
      </c>
      <c r="H315" t="s">
        <v>778</v>
      </c>
      <c r="I315" t="s">
        <v>781</v>
      </c>
      <c r="J315">
        <v>4</v>
      </c>
      <c r="K315">
        <v>19000</v>
      </c>
      <c r="L315">
        <f>HotelSales[[#This Row],[Stay_Nights]]*HotelSales[[#This Row],[Room_Rate]]</f>
        <v>114000</v>
      </c>
      <c r="M315">
        <v>10000</v>
      </c>
      <c r="N315">
        <f>HotelSales[[#This Row],[Room_Revenue]]+HotelSales[[#This Row],[Restaurant_Spend]]</f>
        <v>124000</v>
      </c>
      <c r="O315" t="s">
        <v>785</v>
      </c>
    </row>
    <row r="316" spans="1:15">
      <c r="A316" t="s">
        <v>326</v>
      </c>
      <c r="B316" t="s">
        <v>719</v>
      </c>
      <c r="C316" s="2">
        <v>45867.840902777767</v>
      </c>
      <c r="D316" s="1">
        <v>45873.840902777767</v>
      </c>
      <c r="E316" s="1">
        <v>45877.840902777767</v>
      </c>
      <c r="F316">
        <f>HotelSales[[#This Row],[Check_Out]]-HotelSales[[#This Row],[Check_In]]</f>
        <v>4</v>
      </c>
      <c r="G316" t="s">
        <v>775</v>
      </c>
      <c r="H316" t="s">
        <v>778</v>
      </c>
      <c r="I316" t="s">
        <v>780</v>
      </c>
      <c r="J316">
        <v>3</v>
      </c>
      <c r="K316">
        <v>13000</v>
      </c>
      <c r="L316">
        <f>HotelSales[[#This Row],[Stay_Nights]]*HotelSales[[#This Row],[Room_Rate]]</f>
        <v>52000</v>
      </c>
      <c r="M316">
        <v>1500</v>
      </c>
      <c r="N316">
        <f>HotelSales[[#This Row],[Room_Revenue]]+HotelSales[[#This Row],[Restaurant_Spend]]</f>
        <v>53500</v>
      </c>
      <c r="O316" t="s">
        <v>782</v>
      </c>
    </row>
    <row r="317" spans="1:15">
      <c r="A317" t="s">
        <v>327</v>
      </c>
      <c r="B317" t="s">
        <v>720</v>
      </c>
      <c r="C317" s="2">
        <v>45867.869756944441</v>
      </c>
      <c r="D317" s="1">
        <v>45869.869756944441</v>
      </c>
      <c r="E317" s="1">
        <v>45873.869756944441</v>
      </c>
      <c r="F317">
        <f>HotelSales[[#This Row],[Check_Out]]-HotelSales[[#This Row],[Check_In]]</f>
        <v>4</v>
      </c>
      <c r="G317" t="s">
        <v>776</v>
      </c>
      <c r="H317" t="s">
        <v>778</v>
      </c>
      <c r="I317" t="s">
        <v>780</v>
      </c>
      <c r="J317">
        <v>4</v>
      </c>
      <c r="K317">
        <v>18000</v>
      </c>
      <c r="L317">
        <f>HotelSales[[#This Row],[Stay_Nights]]*HotelSales[[#This Row],[Room_Rate]]</f>
        <v>72000</v>
      </c>
      <c r="M317">
        <v>1500</v>
      </c>
      <c r="N317">
        <f>HotelSales[[#This Row],[Room_Revenue]]+HotelSales[[#This Row],[Restaurant_Spend]]</f>
        <v>73500</v>
      </c>
      <c r="O317" t="s">
        <v>785</v>
      </c>
    </row>
    <row r="318" spans="1:15">
      <c r="A318" t="s">
        <v>328</v>
      </c>
      <c r="B318" t="s">
        <v>715</v>
      </c>
      <c r="C318" s="2">
        <v>45869.945057870369</v>
      </c>
      <c r="D318" s="1">
        <v>45880.945057870369</v>
      </c>
      <c r="E318" s="1">
        <v>45887.945057870369</v>
      </c>
      <c r="F318">
        <f>HotelSales[[#This Row],[Check_Out]]-HotelSales[[#This Row],[Check_In]]</f>
        <v>7</v>
      </c>
      <c r="G318" t="s">
        <v>775</v>
      </c>
      <c r="H318" t="s">
        <v>778</v>
      </c>
      <c r="I318" t="s">
        <v>780</v>
      </c>
      <c r="J318">
        <v>4</v>
      </c>
      <c r="K318">
        <v>12000</v>
      </c>
      <c r="L318">
        <f>HotelSales[[#This Row],[Stay_Nights]]*HotelSales[[#This Row],[Room_Rate]]</f>
        <v>84000</v>
      </c>
      <c r="M318">
        <v>4000</v>
      </c>
      <c r="N318">
        <f>HotelSales[[#This Row],[Room_Revenue]]+HotelSales[[#This Row],[Restaurant_Spend]]</f>
        <v>88000</v>
      </c>
      <c r="O318" t="s">
        <v>782</v>
      </c>
    </row>
    <row r="319" spans="1:15">
      <c r="A319" t="s">
        <v>329</v>
      </c>
      <c r="B319" t="s">
        <v>566</v>
      </c>
      <c r="C319" s="2">
        <v>45873.657210648147</v>
      </c>
      <c r="D319" s="1">
        <v>45883.657210648147</v>
      </c>
      <c r="E319" s="1">
        <v>45889.657210648147</v>
      </c>
      <c r="F319">
        <f>HotelSales[[#This Row],[Check_Out]]-HotelSales[[#This Row],[Check_In]]</f>
        <v>6</v>
      </c>
      <c r="G319" t="s">
        <v>774</v>
      </c>
      <c r="H319" t="s">
        <v>778</v>
      </c>
      <c r="I319" t="s">
        <v>779</v>
      </c>
      <c r="J319">
        <v>2</v>
      </c>
      <c r="K319">
        <v>31000</v>
      </c>
      <c r="L319">
        <f>HotelSales[[#This Row],[Stay_Nights]]*HotelSales[[#This Row],[Room_Rate]]</f>
        <v>186000</v>
      </c>
      <c r="M319">
        <v>6000</v>
      </c>
      <c r="N319">
        <f>HotelSales[[#This Row],[Room_Revenue]]+HotelSales[[#This Row],[Restaurant_Spend]]</f>
        <v>192000</v>
      </c>
      <c r="O319" t="s">
        <v>782</v>
      </c>
    </row>
    <row r="320" spans="1:15">
      <c r="A320" t="s">
        <v>330</v>
      </c>
      <c r="B320" t="s">
        <v>566</v>
      </c>
      <c r="C320" s="2">
        <v>45873.840497685182</v>
      </c>
      <c r="D320" s="1">
        <v>45884.840497685182</v>
      </c>
      <c r="E320" s="1">
        <v>45890.840497685182</v>
      </c>
      <c r="F320">
        <f>HotelSales[[#This Row],[Check_Out]]-HotelSales[[#This Row],[Check_In]]</f>
        <v>6</v>
      </c>
      <c r="G320" t="s">
        <v>775</v>
      </c>
      <c r="H320" t="s">
        <v>778</v>
      </c>
      <c r="I320" t="s">
        <v>779</v>
      </c>
      <c r="J320">
        <v>2</v>
      </c>
      <c r="K320">
        <v>11000</v>
      </c>
      <c r="L320">
        <f>HotelSales[[#This Row],[Stay_Nights]]*HotelSales[[#This Row],[Room_Rate]]</f>
        <v>66000</v>
      </c>
      <c r="M320">
        <v>7500</v>
      </c>
      <c r="N320">
        <f>HotelSales[[#This Row],[Room_Revenue]]+HotelSales[[#This Row],[Restaurant_Spend]]</f>
        <v>73500</v>
      </c>
      <c r="O320" t="s">
        <v>782</v>
      </c>
    </row>
    <row r="321" spans="1:15">
      <c r="A321" t="s">
        <v>331</v>
      </c>
      <c r="B321" t="s">
        <v>721</v>
      </c>
      <c r="C321" s="2">
        <v>45874.754432870373</v>
      </c>
      <c r="D321" s="1">
        <v>45884.754432870373</v>
      </c>
      <c r="E321" s="1">
        <v>45890.754432870373</v>
      </c>
      <c r="F321">
        <f>HotelSales[[#This Row],[Check_Out]]-HotelSales[[#This Row],[Check_In]]</f>
        <v>6</v>
      </c>
      <c r="G321" t="s">
        <v>775</v>
      </c>
      <c r="H321" t="s">
        <v>777</v>
      </c>
      <c r="I321" t="s">
        <v>780</v>
      </c>
      <c r="J321">
        <v>2</v>
      </c>
      <c r="K321">
        <v>12000</v>
      </c>
      <c r="L321">
        <f>HotelSales[[#This Row],[Stay_Nights]]*HotelSales[[#This Row],[Room_Rate]]</f>
        <v>72000</v>
      </c>
      <c r="M321">
        <v>9500</v>
      </c>
      <c r="N321">
        <f>HotelSales[[#This Row],[Room_Revenue]]+HotelSales[[#This Row],[Restaurant_Spend]]</f>
        <v>81500</v>
      </c>
      <c r="O321" t="s">
        <v>785</v>
      </c>
    </row>
    <row r="322" spans="1:15">
      <c r="A322" t="s">
        <v>332</v>
      </c>
      <c r="B322" t="s">
        <v>620</v>
      </c>
      <c r="C322" s="2">
        <v>45875.417256944442</v>
      </c>
      <c r="D322" s="1">
        <v>45894.417256944442</v>
      </c>
      <c r="E322" s="1">
        <v>45898.417256944442</v>
      </c>
      <c r="F322">
        <f>HotelSales[[#This Row],[Check_Out]]-HotelSales[[#This Row],[Check_In]]</f>
        <v>4</v>
      </c>
      <c r="G322" t="s">
        <v>774</v>
      </c>
      <c r="H322" t="s">
        <v>777</v>
      </c>
      <c r="I322" t="s">
        <v>779</v>
      </c>
      <c r="J322">
        <v>1</v>
      </c>
      <c r="K322">
        <v>31000</v>
      </c>
      <c r="L322">
        <f>HotelSales[[#This Row],[Stay_Nights]]*HotelSales[[#This Row],[Room_Rate]]</f>
        <v>124000</v>
      </c>
      <c r="M322">
        <v>9500</v>
      </c>
      <c r="N322">
        <f>HotelSales[[#This Row],[Room_Revenue]]+HotelSales[[#This Row],[Restaurant_Spend]]</f>
        <v>133500</v>
      </c>
      <c r="O322" t="s">
        <v>782</v>
      </c>
    </row>
    <row r="323" spans="1:15">
      <c r="A323" t="s">
        <v>333</v>
      </c>
      <c r="B323" t="s">
        <v>695</v>
      </c>
      <c r="C323" s="2">
        <v>45876.657500000001</v>
      </c>
      <c r="D323" s="1">
        <v>45883.657500000001</v>
      </c>
      <c r="E323" s="1">
        <v>45887.657500000001</v>
      </c>
      <c r="F323">
        <f>HotelSales[[#This Row],[Check_Out]]-HotelSales[[#This Row],[Check_In]]</f>
        <v>4</v>
      </c>
      <c r="G323" t="s">
        <v>775</v>
      </c>
      <c r="H323" t="s">
        <v>777</v>
      </c>
      <c r="I323" t="s">
        <v>780</v>
      </c>
      <c r="J323">
        <v>2</v>
      </c>
      <c r="K323">
        <v>11000</v>
      </c>
      <c r="L323">
        <f>HotelSales[[#This Row],[Stay_Nights]]*HotelSales[[#This Row],[Room_Rate]]</f>
        <v>44000</v>
      </c>
      <c r="M323">
        <v>7000</v>
      </c>
      <c r="N323">
        <f>HotelSales[[#This Row],[Room_Revenue]]+HotelSales[[#This Row],[Restaurant_Spend]]</f>
        <v>51000</v>
      </c>
      <c r="O323" t="s">
        <v>785</v>
      </c>
    </row>
    <row r="324" spans="1:15">
      <c r="A324" t="s">
        <v>334</v>
      </c>
      <c r="B324" t="s">
        <v>722</v>
      </c>
      <c r="C324" s="2">
        <v>45878.16605324074</v>
      </c>
      <c r="D324" s="1">
        <v>45880.16605324074</v>
      </c>
      <c r="E324" s="1">
        <v>45881.16605324074</v>
      </c>
      <c r="F324">
        <f>HotelSales[[#This Row],[Check_Out]]-HotelSales[[#This Row],[Check_In]]</f>
        <v>1</v>
      </c>
      <c r="G324" t="s">
        <v>775</v>
      </c>
      <c r="H324" t="s">
        <v>778</v>
      </c>
      <c r="I324" t="s">
        <v>781</v>
      </c>
      <c r="J324">
        <v>4</v>
      </c>
      <c r="K324">
        <v>12000</v>
      </c>
      <c r="L324">
        <f>HotelSales[[#This Row],[Stay_Nights]]*HotelSales[[#This Row],[Room_Rate]]</f>
        <v>12000</v>
      </c>
      <c r="M324">
        <v>9500</v>
      </c>
      <c r="N324">
        <f>HotelSales[[#This Row],[Room_Revenue]]+HotelSales[[#This Row],[Restaurant_Spend]]</f>
        <v>21500</v>
      </c>
      <c r="O324" t="s">
        <v>782</v>
      </c>
    </row>
    <row r="325" spans="1:15">
      <c r="A325" t="s">
        <v>335</v>
      </c>
      <c r="B325" t="s">
        <v>723</v>
      </c>
      <c r="C325" s="2">
        <v>45879.021585648137</v>
      </c>
      <c r="D325" s="1">
        <v>45892.021585648137</v>
      </c>
      <c r="E325" s="1">
        <v>45895.021585648137</v>
      </c>
      <c r="F325">
        <f>HotelSales[[#This Row],[Check_Out]]-HotelSales[[#This Row],[Check_In]]</f>
        <v>3</v>
      </c>
      <c r="G325" t="s">
        <v>776</v>
      </c>
      <c r="H325" t="s">
        <v>778</v>
      </c>
      <c r="I325" t="s">
        <v>781</v>
      </c>
      <c r="J325">
        <v>3</v>
      </c>
      <c r="K325">
        <v>19000</v>
      </c>
      <c r="L325">
        <f>HotelSales[[#This Row],[Stay_Nights]]*HotelSales[[#This Row],[Room_Rate]]</f>
        <v>57000</v>
      </c>
      <c r="M325">
        <v>9000</v>
      </c>
      <c r="N325">
        <f>HotelSales[[#This Row],[Room_Revenue]]+HotelSales[[#This Row],[Restaurant_Spend]]</f>
        <v>66000</v>
      </c>
      <c r="O325" t="s">
        <v>787</v>
      </c>
    </row>
    <row r="326" spans="1:15">
      <c r="A326" t="s">
        <v>336</v>
      </c>
      <c r="B326" t="s">
        <v>724</v>
      </c>
      <c r="C326" s="2">
        <v>45879.177465277768</v>
      </c>
      <c r="D326" s="1">
        <v>45909.177465277768</v>
      </c>
      <c r="E326" s="1">
        <v>45915.177465277768</v>
      </c>
      <c r="F326">
        <f>HotelSales[[#This Row],[Check_Out]]-HotelSales[[#This Row],[Check_In]]</f>
        <v>6</v>
      </c>
      <c r="G326" t="s">
        <v>775</v>
      </c>
      <c r="H326" t="s">
        <v>778</v>
      </c>
      <c r="I326" t="s">
        <v>780</v>
      </c>
      <c r="J326">
        <v>2</v>
      </c>
      <c r="K326">
        <v>11000</v>
      </c>
      <c r="L326">
        <f>HotelSales[[#This Row],[Stay_Nights]]*HotelSales[[#This Row],[Room_Rate]]</f>
        <v>66000</v>
      </c>
      <c r="M326">
        <v>8000</v>
      </c>
      <c r="N326">
        <f>HotelSales[[#This Row],[Room_Revenue]]+HotelSales[[#This Row],[Restaurant_Spend]]</f>
        <v>74000</v>
      </c>
      <c r="O326" t="s">
        <v>786</v>
      </c>
    </row>
    <row r="327" spans="1:15">
      <c r="A327" t="s">
        <v>337</v>
      </c>
      <c r="B327" t="s">
        <v>725</v>
      </c>
      <c r="C327" s="2">
        <v>45879.811666666668</v>
      </c>
      <c r="D327" s="1">
        <v>45900.811666666668</v>
      </c>
      <c r="E327" s="1">
        <v>45906.811666666668</v>
      </c>
      <c r="F327">
        <f>HotelSales[[#This Row],[Check_Out]]-HotelSales[[#This Row],[Check_In]]</f>
        <v>6</v>
      </c>
      <c r="G327" t="s">
        <v>776</v>
      </c>
      <c r="H327" t="s">
        <v>778</v>
      </c>
      <c r="I327" t="s">
        <v>780</v>
      </c>
      <c r="J327">
        <v>1</v>
      </c>
      <c r="K327">
        <v>17000</v>
      </c>
      <c r="L327">
        <f>HotelSales[[#This Row],[Stay_Nights]]*HotelSales[[#This Row],[Room_Rate]]</f>
        <v>102000</v>
      </c>
      <c r="M327">
        <v>8000</v>
      </c>
      <c r="N327">
        <f>HotelSales[[#This Row],[Room_Revenue]]+HotelSales[[#This Row],[Restaurant_Spend]]</f>
        <v>110000</v>
      </c>
      <c r="O327" t="s">
        <v>785</v>
      </c>
    </row>
    <row r="328" spans="1:15">
      <c r="A328" t="s">
        <v>338</v>
      </c>
      <c r="B328" t="s">
        <v>597</v>
      </c>
      <c r="C328" s="2">
        <v>45881.070567129631</v>
      </c>
      <c r="D328" s="1">
        <v>45885.070567129631</v>
      </c>
      <c r="E328" s="1">
        <v>45886.070567129631</v>
      </c>
      <c r="F328">
        <f>HotelSales[[#This Row],[Check_Out]]-HotelSales[[#This Row],[Check_In]]</f>
        <v>1</v>
      </c>
      <c r="G328" t="s">
        <v>775</v>
      </c>
      <c r="H328" t="s">
        <v>777</v>
      </c>
      <c r="I328" t="s">
        <v>781</v>
      </c>
      <c r="J328">
        <v>3</v>
      </c>
      <c r="K328">
        <v>12000</v>
      </c>
      <c r="L328">
        <f>HotelSales[[#This Row],[Stay_Nights]]*HotelSales[[#This Row],[Room_Rate]]</f>
        <v>12000</v>
      </c>
      <c r="M328">
        <v>8000</v>
      </c>
      <c r="N328">
        <f>HotelSales[[#This Row],[Room_Revenue]]+HotelSales[[#This Row],[Restaurant_Spend]]</f>
        <v>20000</v>
      </c>
      <c r="O328" t="s">
        <v>782</v>
      </c>
    </row>
    <row r="329" spans="1:15">
      <c r="A329" t="s">
        <v>339</v>
      </c>
      <c r="B329" t="s">
        <v>726</v>
      </c>
      <c r="C329" s="2">
        <v>45881.967997685177</v>
      </c>
      <c r="D329" s="1">
        <v>45911.967997685177</v>
      </c>
      <c r="E329" s="1">
        <v>45914.967997685177</v>
      </c>
      <c r="F329">
        <f>HotelSales[[#This Row],[Check_Out]]-HotelSales[[#This Row],[Check_In]]</f>
        <v>3</v>
      </c>
      <c r="G329" t="s">
        <v>775</v>
      </c>
      <c r="H329" t="s">
        <v>777</v>
      </c>
      <c r="I329" t="s">
        <v>780</v>
      </c>
      <c r="J329">
        <v>3</v>
      </c>
      <c r="K329">
        <v>11000</v>
      </c>
      <c r="L329">
        <f>HotelSales[[#This Row],[Stay_Nights]]*HotelSales[[#This Row],[Room_Rate]]</f>
        <v>33000</v>
      </c>
      <c r="M329">
        <v>4500</v>
      </c>
      <c r="N329">
        <f>HotelSales[[#This Row],[Room_Revenue]]+HotelSales[[#This Row],[Restaurant_Spend]]</f>
        <v>37500</v>
      </c>
      <c r="O329" t="s">
        <v>787</v>
      </c>
    </row>
    <row r="330" spans="1:15">
      <c r="A330" t="s">
        <v>340</v>
      </c>
      <c r="B330" t="s">
        <v>727</v>
      </c>
      <c r="C330" s="2">
        <v>45883.610300925917</v>
      </c>
      <c r="D330" s="1">
        <v>45901.610300925917</v>
      </c>
      <c r="E330" s="1">
        <v>45905.610300925917</v>
      </c>
      <c r="F330">
        <f>HotelSales[[#This Row],[Check_Out]]-HotelSales[[#This Row],[Check_In]]</f>
        <v>4</v>
      </c>
      <c r="G330" t="s">
        <v>775</v>
      </c>
      <c r="H330" t="s">
        <v>777</v>
      </c>
      <c r="I330" t="s">
        <v>781</v>
      </c>
      <c r="J330">
        <v>2</v>
      </c>
      <c r="K330">
        <v>12000</v>
      </c>
      <c r="L330">
        <f>HotelSales[[#This Row],[Stay_Nights]]*HotelSales[[#This Row],[Room_Rate]]</f>
        <v>48000</v>
      </c>
      <c r="M330">
        <v>8000</v>
      </c>
      <c r="N330">
        <f>HotelSales[[#This Row],[Room_Revenue]]+HotelSales[[#This Row],[Restaurant_Spend]]</f>
        <v>56000</v>
      </c>
      <c r="O330" t="s">
        <v>782</v>
      </c>
    </row>
    <row r="331" spans="1:15">
      <c r="A331" t="s">
        <v>341</v>
      </c>
      <c r="B331" t="s">
        <v>676</v>
      </c>
      <c r="C331" s="2">
        <v>45883.827685185177</v>
      </c>
      <c r="D331" s="1">
        <v>45887.827685185177</v>
      </c>
      <c r="E331" s="1">
        <v>45889.827685185177</v>
      </c>
      <c r="F331">
        <f>HotelSales[[#This Row],[Check_Out]]-HotelSales[[#This Row],[Check_In]]</f>
        <v>2</v>
      </c>
      <c r="G331" t="s">
        <v>775</v>
      </c>
      <c r="H331" t="s">
        <v>778</v>
      </c>
      <c r="I331" t="s">
        <v>780</v>
      </c>
      <c r="J331">
        <v>1</v>
      </c>
      <c r="K331">
        <v>11000</v>
      </c>
      <c r="L331">
        <f>HotelSales[[#This Row],[Stay_Nights]]*HotelSales[[#This Row],[Room_Rate]]</f>
        <v>22000</v>
      </c>
      <c r="M331">
        <v>5000</v>
      </c>
      <c r="N331">
        <f>HotelSales[[#This Row],[Room_Revenue]]+HotelSales[[#This Row],[Restaurant_Spend]]</f>
        <v>27000</v>
      </c>
      <c r="O331" t="s">
        <v>783</v>
      </c>
    </row>
    <row r="332" spans="1:15">
      <c r="A332" t="s">
        <v>342</v>
      </c>
      <c r="B332" t="s">
        <v>568</v>
      </c>
      <c r="C332" s="2">
        <v>45885.764236111107</v>
      </c>
      <c r="D332" s="1">
        <v>45899.764236111107</v>
      </c>
      <c r="E332" s="1">
        <v>45900.764236111107</v>
      </c>
      <c r="F332">
        <f>HotelSales[[#This Row],[Check_Out]]-HotelSales[[#This Row],[Check_In]]</f>
        <v>1</v>
      </c>
      <c r="G332" t="s">
        <v>775</v>
      </c>
      <c r="H332" t="s">
        <v>777</v>
      </c>
      <c r="I332" t="s">
        <v>780</v>
      </c>
      <c r="J332">
        <v>2</v>
      </c>
      <c r="K332">
        <v>13000</v>
      </c>
      <c r="L332">
        <f>HotelSales[[#This Row],[Stay_Nights]]*HotelSales[[#This Row],[Room_Rate]]</f>
        <v>13000</v>
      </c>
      <c r="M332">
        <v>8000</v>
      </c>
      <c r="N332">
        <f>HotelSales[[#This Row],[Room_Revenue]]+HotelSales[[#This Row],[Restaurant_Spend]]</f>
        <v>21000</v>
      </c>
      <c r="O332" t="s">
        <v>787</v>
      </c>
    </row>
    <row r="333" spans="1:15">
      <c r="A333" t="s">
        <v>343</v>
      </c>
      <c r="B333" t="s">
        <v>522</v>
      </c>
      <c r="C333" s="2">
        <v>45885.816828703697</v>
      </c>
      <c r="D333" s="1">
        <v>45902.816828703697</v>
      </c>
      <c r="E333" s="1">
        <v>45906.816828703697</v>
      </c>
      <c r="F333">
        <f>HotelSales[[#This Row],[Check_Out]]-HotelSales[[#This Row],[Check_In]]</f>
        <v>4</v>
      </c>
      <c r="G333" t="s">
        <v>774</v>
      </c>
      <c r="H333" t="s">
        <v>777</v>
      </c>
      <c r="I333" t="s">
        <v>780</v>
      </c>
      <c r="J333">
        <v>2</v>
      </c>
      <c r="K333">
        <v>30000</v>
      </c>
      <c r="L333">
        <f>HotelSales[[#This Row],[Stay_Nights]]*HotelSales[[#This Row],[Room_Rate]]</f>
        <v>120000</v>
      </c>
      <c r="M333">
        <v>2500</v>
      </c>
      <c r="N333">
        <f>HotelSales[[#This Row],[Room_Revenue]]+HotelSales[[#This Row],[Restaurant_Spend]]</f>
        <v>122500</v>
      </c>
      <c r="O333" t="s">
        <v>787</v>
      </c>
    </row>
    <row r="334" spans="1:15">
      <c r="A334" t="s">
        <v>344</v>
      </c>
      <c r="B334" t="s">
        <v>619</v>
      </c>
      <c r="C334" s="2">
        <v>45886.001307870371</v>
      </c>
      <c r="D334" s="1">
        <v>45911.001307870371</v>
      </c>
      <c r="E334" s="1">
        <v>45913.001307870371</v>
      </c>
      <c r="F334">
        <f>HotelSales[[#This Row],[Check_Out]]-HotelSales[[#This Row],[Check_In]]</f>
        <v>2</v>
      </c>
      <c r="G334" t="s">
        <v>775</v>
      </c>
      <c r="H334" t="s">
        <v>778</v>
      </c>
      <c r="I334" t="s">
        <v>781</v>
      </c>
      <c r="J334">
        <v>4</v>
      </c>
      <c r="K334">
        <v>12000</v>
      </c>
      <c r="L334">
        <f>HotelSales[[#This Row],[Stay_Nights]]*HotelSales[[#This Row],[Room_Rate]]</f>
        <v>24000</v>
      </c>
      <c r="M334">
        <v>6000</v>
      </c>
      <c r="N334">
        <f>HotelSales[[#This Row],[Room_Revenue]]+HotelSales[[#This Row],[Restaurant_Spend]]</f>
        <v>30000</v>
      </c>
      <c r="O334" t="s">
        <v>785</v>
      </c>
    </row>
    <row r="335" spans="1:15">
      <c r="A335" t="s">
        <v>345</v>
      </c>
      <c r="B335" t="s">
        <v>610</v>
      </c>
      <c r="C335" s="2">
        <v>45887.270509259259</v>
      </c>
      <c r="D335" s="1">
        <v>45892.270509259259</v>
      </c>
      <c r="E335" s="1">
        <v>45894.270509259259</v>
      </c>
      <c r="F335">
        <f>HotelSales[[#This Row],[Check_Out]]-HotelSales[[#This Row],[Check_In]]</f>
        <v>2</v>
      </c>
      <c r="G335" t="s">
        <v>776</v>
      </c>
      <c r="H335" t="s">
        <v>778</v>
      </c>
      <c r="I335" t="s">
        <v>781</v>
      </c>
      <c r="J335">
        <v>4</v>
      </c>
      <c r="K335">
        <v>17000</v>
      </c>
      <c r="L335">
        <f>HotelSales[[#This Row],[Stay_Nights]]*HotelSales[[#This Row],[Room_Rate]]</f>
        <v>34000</v>
      </c>
      <c r="M335">
        <v>8000</v>
      </c>
      <c r="N335">
        <f>HotelSales[[#This Row],[Room_Revenue]]+HotelSales[[#This Row],[Restaurant_Spend]]</f>
        <v>42000</v>
      </c>
      <c r="O335" t="s">
        <v>786</v>
      </c>
    </row>
    <row r="336" spans="1:15">
      <c r="A336" t="s">
        <v>346</v>
      </c>
      <c r="B336" t="s">
        <v>708</v>
      </c>
      <c r="C336" s="2">
        <v>45887.83121527778</v>
      </c>
      <c r="D336" s="1">
        <v>45916.83121527778</v>
      </c>
      <c r="E336" s="1">
        <v>45918.83121527778</v>
      </c>
      <c r="F336">
        <f>HotelSales[[#This Row],[Check_Out]]-HotelSales[[#This Row],[Check_In]]</f>
        <v>2</v>
      </c>
      <c r="G336" t="s">
        <v>775</v>
      </c>
      <c r="H336" t="s">
        <v>778</v>
      </c>
      <c r="I336" t="s">
        <v>779</v>
      </c>
      <c r="J336">
        <v>3</v>
      </c>
      <c r="K336">
        <v>11000</v>
      </c>
      <c r="L336">
        <f>HotelSales[[#This Row],[Stay_Nights]]*HotelSales[[#This Row],[Room_Rate]]</f>
        <v>22000</v>
      </c>
      <c r="M336">
        <v>14000</v>
      </c>
      <c r="N336">
        <f>HotelSales[[#This Row],[Room_Revenue]]+HotelSales[[#This Row],[Restaurant_Spend]]</f>
        <v>36000</v>
      </c>
      <c r="O336" t="s">
        <v>782</v>
      </c>
    </row>
    <row r="337" spans="1:15">
      <c r="A337" t="s">
        <v>347</v>
      </c>
      <c r="B337" t="s">
        <v>606</v>
      </c>
      <c r="C337" s="2">
        <v>45890.504224537042</v>
      </c>
      <c r="D337" s="1">
        <v>45904.504224537042</v>
      </c>
      <c r="E337" s="1">
        <v>45909.504224537042</v>
      </c>
      <c r="F337">
        <f>HotelSales[[#This Row],[Check_Out]]-HotelSales[[#This Row],[Check_In]]</f>
        <v>5</v>
      </c>
      <c r="G337" t="s">
        <v>775</v>
      </c>
      <c r="H337" t="s">
        <v>777</v>
      </c>
      <c r="I337" t="s">
        <v>779</v>
      </c>
      <c r="J337">
        <v>4</v>
      </c>
      <c r="K337">
        <v>13000</v>
      </c>
      <c r="L337">
        <f>HotelSales[[#This Row],[Stay_Nights]]*HotelSales[[#This Row],[Room_Rate]]</f>
        <v>65000</v>
      </c>
      <c r="M337">
        <v>10000</v>
      </c>
      <c r="N337">
        <f>HotelSales[[#This Row],[Room_Revenue]]+HotelSales[[#This Row],[Restaurant_Spend]]</f>
        <v>75000</v>
      </c>
      <c r="O337" t="s">
        <v>784</v>
      </c>
    </row>
    <row r="338" spans="1:15">
      <c r="A338" t="s">
        <v>348</v>
      </c>
      <c r="B338" t="s">
        <v>568</v>
      </c>
      <c r="C338" s="2">
        <v>45890.77815972222</v>
      </c>
      <c r="D338" s="1">
        <v>45915.77815972222</v>
      </c>
      <c r="E338" s="1">
        <v>45918.77815972222</v>
      </c>
      <c r="F338">
        <f>HotelSales[[#This Row],[Check_Out]]-HotelSales[[#This Row],[Check_In]]</f>
        <v>3</v>
      </c>
      <c r="G338" t="s">
        <v>775</v>
      </c>
      <c r="H338" t="s">
        <v>777</v>
      </c>
      <c r="I338" t="s">
        <v>781</v>
      </c>
      <c r="J338">
        <v>2</v>
      </c>
      <c r="K338">
        <v>12000</v>
      </c>
      <c r="L338">
        <f>HotelSales[[#This Row],[Stay_Nights]]*HotelSales[[#This Row],[Room_Rate]]</f>
        <v>36000</v>
      </c>
      <c r="M338">
        <v>11000</v>
      </c>
      <c r="N338">
        <f>HotelSales[[#This Row],[Room_Revenue]]+HotelSales[[#This Row],[Restaurant_Spend]]</f>
        <v>47000</v>
      </c>
      <c r="O338" t="s">
        <v>784</v>
      </c>
    </row>
    <row r="339" spans="1:15">
      <c r="A339" t="s">
        <v>349</v>
      </c>
      <c r="B339" t="s">
        <v>708</v>
      </c>
      <c r="C339" s="2">
        <v>45890.995520833327</v>
      </c>
      <c r="D339" s="1">
        <v>45904.995520833327</v>
      </c>
      <c r="E339" s="1">
        <v>45910.995520833327</v>
      </c>
      <c r="F339">
        <f>HotelSales[[#This Row],[Check_Out]]-HotelSales[[#This Row],[Check_In]]</f>
        <v>6</v>
      </c>
      <c r="G339" t="s">
        <v>775</v>
      </c>
      <c r="H339" t="s">
        <v>777</v>
      </c>
      <c r="I339" t="s">
        <v>780</v>
      </c>
      <c r="J339">
        <v>1</v>
      </c>
      <c r="K339">
        <v>12000</v>
      </c>
      <c r="L339">
        <f>HotelSales[[#This Row],[Stay_Nights]]*HotelSales[[#This Row],[Room_Rate]]</f>
        <v>72000</v>
      </c>
      <c r="M339">
        <v>8500</v>
      </c>
      <c r="N339">
        <f>HotelSales[[#This Row],[Room_Revenue]]+HotelSales[[#This Row],[Restaurant_Spend]]</f>
        <v>80500</v>
      </c>
      <c r="O339" t="s">
        <v>784</v>
      </c>
    </row>
    <row r="340" spans="1:15">
      <c r="A340" t="s">
        <v>350</v>
      </c>
      <c r="B340" t="s">
        <v>553</v>
      </c>
      <c r="C340" s="2">
        <v>45892.265821759262</v>
      </c>
      <c r="D340" s="1">
        <v>45900.265821759262</v>
      </c>
      <c r="E340" s="1">
        <v>45903.265821759262</v>
      </c>
      <c r="F340">
        <f>HotelSales[[#This Row],[Check_Out]]-HotelSales[[#This Row],[Check_In]]</f>
        <v>3</v>
      </c>
      <c r="G340" t="s">
        <v>775</v>
      </c>
      <c r="H340" t="s">
        <v>777</v>
      </c>
      <c r="I340" t="s">
        <v>780</v>
      </c>
      <c r="J340">
        <v>2</v>
      </c>
      <c r="K340">
        <v>13000</v>
      </c>
      <c r="L340">
        <f>HotelSales[[#This Row],[Stay_Nights]]*HotelSales[[#This Row],[Room_Rate]]</f>
        <v>39000</v>
      </c>
      <c r="M340">
        <v>3000</v>
      </c>
      <c r="N340">
        <f>HotelSales[[#This Row],[Room_Revenue]]+HotelSales[[#This Row],[Restaurant_Spend]]</f>
        <v>42000</v>
      </c>
      <c r="O340" t="s">
        <v>785</v>
      </c>
    </row>
    <row r="341" spans="1:15">
      <c r="A341" t="s">
        <v>351</v>
      </c>
      <c r="B341" t="s">
        <v>619</v>
      </c>
      <c r="C341" s="2">
        <v>45892.278449074067</v>
      </c>
      <c r="D341" s="1">
        <v>45907.278449074067</v>
      </c>
      <c r="E341" s="1">
        <v>45911.278449074067</v>
      </c>
      <c r="F341">
        <f>HotelSales[[#This Row],[Check_Out]]-HotelSales[[#This Row],[Check_In]]</f>
        <v>4</v>
      </c>
      <c r="G341" t="s">
        <v>775</v>
      </c>
      <c r="H341" t="s">
        <v>777</v>
      </c>
      <c r="I341" t="s">
        <v>780</v>
      </c>
      <c r="J341">
        <v>4</v>
      </c>
      <c r="K341">
        <v>13000</v>
      </c>
      <c r="L341">
        <f>HotelSales[[#This Row],[Stay_Nights]]*HotelSales[[#This Row],[Room_Rate]]</f>
        <v>52000</v>
      </c>
      <c r="M341">
        <v>4500</v>
      </c>
      <c r="N341">
        <f>HotelSales[[#This Row],[Room_Revenue]]+HotelSales[[#This Row],[Restaurant_Spend]]</f>
        <v>56500</v>
      </c>
      <c r="O341" t="s">
        <v>787</v>
      </c>
    </row>
    <row r="342" spans="1:15">
      <c r="A342" t="s">
        <v>352</v>
      </c>
      <c r="B342" t="s">
        <v>728</v>
      </c>
      <c r="C342" s="2">
        <v>45892.312291666669</v>
      </c>
      <c r="D342" s="1">
        <v>45913.312291666669</v>
      </c>
      <c r="E342" s="1">
        <v>45917.312291666669</v>
      </c>
      <c r="F342">
        <f>HotelSales[[#This Row],[Check_Out]]-HotelSales[[#This Row],[Check_In]]</f>
        <v>4</v>
      </c>
      <c r="G342" t="s">
        <v>776</v>
      </c>
      <c r="H342" t="s">
        <v>778</v>
      </c>
      <c r="I342" t="s">
        <v>780</v>
      </c>
      <c r="J342">
        <v>2</v>
      </c>
      <c r="K342">
        <v>17000</v>
      </c>
      <c r="L342">
        <f>HotelSales[[#This Row],[Stay_Nights]]*HotelSales[[#This Row],[Room_Rate]]</f>
        <v>68000</v>
      </c>
      <c r="M342">
        <v>5000</v>
      </c>
      <c r="N342">
        <f>HotelSales[[#This Row],[Room_Revenue]]+HotelSales[[#This Row],[Restaurant_Spend]]</f>
        <v>73000</v>
      </c>
      <c r="O342" t="s">
        <v>786</v>
      </c>
    </row>
    <row r="343" spans="1:15">
      <c r="A343" t="s">
        <v>353</v>
      </c>
      <c r="B343" t="s">
        <v>729</v>
      </c>
      <c r="C343" s="2">
        <v>45894.097187500003</v>
      </c>
      <c r="D343" s="1">
        <v>45916.097187500003</v>
      </c>
      <c r="E343" s="1">
        <v>45919.097187500003</v>
      </c>
      <c r="F343">
        <f>HotelSales[[#This Row],[Check_Out]]-HotelSales[[#This Row],[Check_In]]</f>
        <v>3</v>
      </c>
      <c r="G343" t="s">
        <v>776</v>
      </c>
      <c r="H343" t="s">
        <v>778</v>
      </c>
      <c r="I343" t="s">
        <v>780</v>
      </c>
      <c r="J343">
        <v>2</v>
      </c>
      <c r="K343">
        <v>19000</v>
      </c>
      <c r="L343">
        <f>HotelSales[[#This Row],[Stay_Nights]]*HotelSales[[#This Row],[Room_Rate]]</f>
        <v>57000</v>
      </c>
      <c r="M343">
        <v>12500</v>
      </c>
      <c r="N343">
        <f>HotelSales[[#This Row],[Room_Revenue]]+HotelSales[[#This Row],[Restaurant_Spend]]</f>
        <v>69500</v>
      </c>
      <c r="O343" t="s">
        <v>783</v>
      </c>
    </row>
    <row r="344" spans="1:15">
      <c r="A344" t="s">
        <v>354</v>
      </c>
      <c r="B344" t="s">
        <v>730</v>
      </c>
      <c r="C344" s="2">
        <v>45894.837002314824</v>
      </c>
      <c r="D344" s="1">
        <v>45896.837002314824</v>
      </c>
      <c r="E344" s="1">
        <v>45900.837002314824</v>
      </c>
      <c r="F344">
        <f>HotelSales[[#This Row],[Check_Out]]-HotelSales[[#This Row],[Check_In]]</f>
        <v>4</v>
      </c>
      <c r="G344" t="s">
        <v>775</v>
      </c>
      <c r="H344" t="s">
        <v>778</v>
      </c>
      <c r="I344" t="s">
        <v>781</v>
      </c>
      <c r="J344">
        <v>4</v>
      </c>
      <c r="K344">
        <v>13000</v>
      </c>
      <c r="L344">
        <f>HotelSales[[#This Row],[Stay_Nights]]*HotelSales[[#This Row],[Room_Rate]]</f>
        <v>52000</v>
      </c>
      <c r="M344">
        <v>10000</v>
      </c>
      <c r="N344">
        <f>HotelSales[[#This Row],[Room_Revenue]]+HotelSales[[#This Row],[Restaurant_Spend]]</f>
        <v>62000</v>
      </c>
      <c r="O344" t="s">
        <v>786</v>
      </c>
    </row>
    <row r="345" spans="1:15">
      <c r="A345" t="s">
        <v>355</v>
      </c>
      <c r="B345" t="s">
        <v>541</v>
      </c>
      <c r="C345" s="2">
        <v>45894.93509259259</v>
      </c>
      <c r="D345" s="1">
        <v>45904.93509259259</v>
      </c>
      <c r="E345" s="1">
        <v>45906.93509259259</v>
      </c>
      <c r="F345">
        <f>HotelSales[[#This Row],[Check_Out]]-HotelSales[[#This Row],[Check_In]]</f>
        <v>2</v>
      </c>
      <c r="G345" t="s">
        <v>776</v>
      </c>
      <c r="H345" t="s">
        <v>777</v>
      </c>
      <c r="I345" t="s">
        <v>779</v>
      </c>
      <c r="J345">
        <v>3</v>
      </c>
      <c r="K345">
        <v>19000</v>
      </c>
      <c r="L345">
        <f>HotelSales[[#This Row],[Stay_Nights]]*HotelSales[[#This Row],[Room_Rate]]</f>
        <v>38000</v>
      </c>
      <c r="M345">
        <v>7000</v>
      </c>
      <c r="N345">
        <f>HotelSales[[#This Row],[Room_Revenue]]+HotelSales[[#This Row],[Restaurant_Spend]]</f>
        <v>45000</v>
      </c>
      <c r="O345" t="s">
        <v>786</v>
      </c>
    </row>
    <row r="346" spans="1:15">
      <c r="A346" t="s">
        <v>356</v>
      </c>
      <c r="B346" t="s">
        <v>676</v>
      </c>
      <c r="C346" s="2">
        <v>45896.063622685193</v>
      </c>
      <c r="D346" s="1">
        <v>45924.063622685193</v>
      </c>
      <c r="E346" s="1">
        <v>45931.063622685193</v>
      </c>
      <c r="F346">
        <f>HotelSales[[#This Row],[Check_Out]]-HotelSales[[#This Row],[Check_In]]</f>
        <v>7</v>
      </c>
      <c r="G346" t="s">
        <v>775</v>
      </c>
      <c r="H346" t="s">
        <v>778</v>
      </c>
      <c r="I346" t="s">
        <v>780</v>
      </c>
      <c r="J346">
        <v>2</v>
      </c>
      <c r="K346">
        <v>12000</v>
      </c>
      <c r="L346">
        <f>HotelSales[[#This Row],[Stay_Nights]]*HotelSales[[#This Row],[Room_Rate]]</f>
        <v>84000</v>
      </c>
      <c r="M346">
        <v>5000</v>
      </c>
      <c r="N346">
        <f>HotelSales[[#This Row],[Room_Revenue]]+HotelSales[[#This Row],[Restaurant_Spend]]</f>
        <v>89000</v>
      </c>
      <c r="O346" t="s">
        <v>787</v>
      </c>
    </row>
    <row r="347" spans="1:15">
      <c r="A347" t="s">
        <v>357</v>
      </c>
      <c r="B347" t="s">
        <v>731</v>
      </c>
      <c r="C347" s="2">
        <v>45898.129826388889</v>
      </c>
      <c r="D347" s="1">
        <v>45905.129826388889</v>
      </c>
      <c r="E347" s="1">
        <v>45908.129826388889</v>
      </c>
      <c r="F347">
        <f>HotelSales[[#This Row],[Check_Out]]-HotelSales[[#This Row],[Check_In]]</f>
        <v>3</v>
      </c>
      <c r="G347" t="s">
        <v>774</v>
      </c>
      <c r="H347" t="s">
        <v>777</v>
      </c>
      <c r="I347" t="s">
        <v>781</v>
      </c>
      <c r="J347">
        <v>2</v>
      </c>
      <c r="K347">
        <v>30000</v>
      </c>
      <c r="L347">
        <f>HotelSales[[#This Row],[Stay_Nights]]*HotelSales[[#This Row],[Room_Rate]]</f>
        <v>90000</v>
      </c>
      <c r="M347">
        <v>5500</v>
      </c>
      <c r="N347">
        <f>HotelSales[[#This Row],[Room_Revenue]]+HotelSales[[#This Row],[Restaurant_Spend]]</f>
        <v>95500</v>
      </c>
      <c r="O347" t="s">
        <v>787</v>
      </c>
    </row>
    <row r="348" spans="1:15">
      <c r="A348" t="s">
        <v>358</v>
      </c>
      <c r="B348" t="s">
        <v>642</v>
      </c>
      <c r="C348" s="2">
        <v>45898.275509259263</v>
      </c>
      <c r="D348" s="1">
        <v>45926.275509259263</v>
      </c>
      <c r="E348" s="1">
        <v>45928.275509259263</v>
      </c>
      <c r="F348">
        <f>HotelSales[[#This Row],[Check_Out]]-HotelSales[[#This Row],[Check_In]]</f>
        <v>2</v>
      </c>
      <c r="G348" t="s">
        <v>776</v>
      </c>
      <c r="H348" t="s">
        <v>777</v>
      </c>
      <c r="I348" t="s">
        <v>781</v>
      </c>
      <c r="J348">
        <v>4</v>
      </c>
      <c r="K348">
        <v>17000</v>
      </c>
      <c r="L348">
        <f>HotelSales[[#This Row],[Stay_Nights]]*HotelSales[[#This Row],[Room_Rate]]</f>
        <v>34000</v>
      </c>
      <c r="M348">
        <v>1000</v>
      </c>
      <c r="N348">
        <f>HotelSales[[#This Row],[Room_Revenue]]+HotelSales[[#This Row],[Restaurant_Spend]]</f>
        <v>35000</v>
      </c>
      <c r="O348" t="s">
        <v>782</v>
      </c>
    </row>
    <row r="349" spans="1:15">
      <c r="A349" t="s">
        <v>359</v>
      </c>
      <c r="B349" t="s">
        <v>555</v>
      </c>
      <c r="C349" s="2">
        <v>45898.603333333333</v>
      </c>
      <c r="D349" s="1">
        <v>45920.603333333333</v>
      </c>
      <c r="E349" s="1">
        <v>45921.603333333333</v>
      </c>
      <c r="F349">
        <f>HotelSales[[#This Row],[Check_Out]]-HotelSales[[#This Row],[Check_In]]</f>
        <v>1</v>
      </c>
      <c r="G349" t="s">
        <v>774</v>
      </c>
      <c r="H349" t="s">
        <v>778</v>
      </c>
      <c r="I349" t="s">
        <v>780</v>
      </c>
      <c r="J349">
        <v>4</v>
      </c>
      <c r="K349">
        <v>31000</v>
      </c>
      <c r="L349">
        <f>HotelSales[[#This Row],[Stay_Nights]]*HotelSales[[#This Row],[Room_Rate]]</f>
        <v>31000</v>
      </c>
      <c r="M349">
        <v>7500</v>
      </c>
      <c r="N349">
        <f>HotelSales[[#This Row],[Room_Revenue]]+HotelSales[[#This Row],[Restaurant_Spend]]</f>
        <v>38500</v>
      </c>
      <c r="O349" t="s">
        <v>787</v>
      </c>
    </row>
    <row r="350" spans="1:15">
      <c r="A350" t="s">
        <v>360</v>
      </c>
      <c r="B350" t="s">
        <v>597</v>
      </c>
      <c r="C350" s="2">
        <v>45898.887835648151</v>
      </c>
      <c r="D350" s="1">
        <v>45904.887835648151</v>
      </c>
      <c r="E350" s="1">
        <v>45910.887835648151</v>
      </c>
      <c r="F350">
        <f>HotelSales[[#This Row],[Check_Out]]-HotelSales[[#This Row],[Check_In]]</f>
        <v>6</v>
      </c>
      <c r="G350" t="s">
        <v>776</v>
      </c>
      <c r="H350" t="s">
        <v>777</v>
      </c>
      <c r="I350" t="s">
        <v>780</v>
      </c>
      <c r="J350">
        <v>4</v>
      </c>
      <c r="K350">
        <v>19000</v>
      </c>
      <c r="L350">
        <f>HotelSales[[#This Row],[Stay_Nights]]*HotelSales[[#This Row],[Room_Rate]]</f>
        <v>114000</v>
      </c>
      <c r="M350">
        <v>5500</v>
      </c>
      <c r="N350">
        <f>HotelSales[[#This Row],[Room_Revenue]]+HotelSales[[#This Row],[Restaurant_Spend]]</f>
        <v>119500</v>
      </c>
      <c r="O350" t="s">
        <v>784</v>
      </c>
    </row>
    <row r="351" spans="1:15">
      <c r="A351" t="s">
        <v>361</v>
      </c>
      <c r="B351" t="s">
        <v>728</v>
      </c>
      <c r="C351" s="2">
        <v>45898.914259259262</v>
      </c>
      <c r="D351" s="1">
        <v>45915.914259259262</v>
      </c>
      <c r="E351" s="1">
        <v>45918.914259259262</v>
      </c>
      <c r="F351">
        <f>HotelSales[[#This Row],[Check_Out]]-HotelSales[[#This Row],[Check_In]]</f>
        <v>3</v>
      </c>
      <c r="G351" t="s">
        <v>775</v>
      </c>
      <c r="H351" t="s">
        <v>778</v>
      </c>
      <c r="I351" t="s">
        <v>779</v>
      </c>
      <c r="J351">
        <v>4</v>
      </c>
      <c r="K351">
        <v>12000</v>
      </c>
      <c r="L351">
        <f>HotelSales[[#This Row],[Stay_Nights]]*HotelSales[[#This Row],[Room_Rate]]</f>
        <v>36000</v>
      </c>
      <c r="M351">
        <v>0</v>
      </c>
      <c r="N351">
        <f>HotelSales[[#This Row],[Room_Revenue]]+HotelSales[[#This Row],[Restaurant_Spend]]</f>
        <v>36000</v>
      </c>
      <c r="O351" t="s">
        <v>782</v>
      </c>
    </row>
    <row r="352" spans="1:15">
      <c r="A352" t="s">
        <v>362</v>
      </c>
      <c r="B352" t="s">
        <v>550</v>
      </c>
      <c r="C352" s="2">
        <v>45899.892118055563</v>
      </c>
      <c r="D352" s="1">
        <v>45910.892118055563</v>
      </c>
      <c r="E352" s="1">
        <v>45913.892118055563</v>
      </c>
      <c r="F352">
        <f>HotelSales[[#This Row],[Check_Out]]-HotelSales[[#This Row],[Check_In]]</f>
        <v>3</v>
      </c>
      <c r="G352" t="s">
        <v>775</v>
      </c>
      <c r="H352" t="s">
        <v>777</v>
      </c>
      <c r="I352" t="s">
        <v>779</v>
      </c>
      <c r="J352">
        <v>1</v>
      </c>
      <c r="K352">
        <v>13000</v>
      </c>
      <c r="L352">
        <f>HotelSales[[#This Row],[Stay_Nights]]*HotelSales[[#This Row],[Room_Rate]]</f>
        <v>39000</v>
      </c>
      <c r="M352">
        <v>13500</v>
      </c>
      <c r="N352">
        <f>HotelSales[[#This Row],[Room_Revenue]]+HotelSales[[#This Row],[Restaurant_Spend]]</f>
        <v>52500</v>
      </c>
      <c r="O352" t="s">
        <v>786</v>
      </c>
    </row>
    <row r="353" spans="1:15">
      <c r="A353" t="s">
        <v>363</v>
      </c>
      <c r="B353" t="s">
        <v>732</v>
      </c>
      <c r="C353" s="2">
        <v>45900.21634259259</v>
      </c>
      <c r="D353" s="1">
        <v>45901.21634259259</v>
      </c>
      <c r="E353" s="1">
        <v>45903.21634259259</v>
      </c>
      <c r="F353">
        <f>HotelSales[[#This Row],[Check_Out]]-HotelSales[[#This Row],[Check_In]]</f>
        <v>2</v>
      </c>
      <c r="G353" t="s">
        <v>776</v>
      </c>
      <c r="H353" t="s">
        <v>778</v>
      </c>
      <c r="I353" t="s">
        <v>779</v>
      </c>
      <c r="J353">
        <v>2</v>
      </c>
      <c r="K353">
        <v>18000</v>
      </c>
      <c r="L353">
        <f>HotelSales[[#This Row],[Stay_Nights]]*HotelSales[[#This Row],[Room_Rate]]</f>
        <v>36000</v>
      </c>
      <c r="M353">
        <v>3500</v>
      </c>
      <c r="N353">
        <f>HotelSales[[#This Row],[Room_Revenue]]+HotelSales[[#This Row],[Restaurant_Spend]]</f>
        <v>39500</v>
      </c>
      <c r="O353" t="s">
        <v>782</v>
      </c>
    </row>
    <row r="354" spans="1:15">
      <c r="A354" t="s">
        <v>364</v>
      </c>
      <c r="B354" t="s">
        <v>601</v>
      </c>
      <c r="C354" s="2">
        <v>45901.166921296302</v>
      </c>
      <c r="D354" s="1">
        <v>45910.166921296302</v>
      </c>
      <c r="E354" s="1">
        <v>45913.166921296302</v>
      </c>
      <c r="F354">
        <f>HotelSales[[#This Row],[Check_Out]]-HotelSales[[#This Row],[Check_In]]</f>
        <v>3</v>
      </c>
      <c r="G354" t="s">
        <v>775</v>
      </c>
      <c r="H354" t="s">
        <v>778</v>
      </c>
      <c r="I354" t="s">
        <v>779</v>
      </c>
      <c r="J354">
        <v>4</v>
      </c>
      <c r="K354">
        <v>12000</v>
      </c>
      <c r="L354">
        <f>HotelSales[[#This Row],[Stay_Nights]]*HotelSales[[#This Row],[Room_Rate]]</f>
        <v>36000</v>
      </c>
      <c r="M354">
        <v>4500</v>
      </c>
      <c r="N354">
        <f>HotelSales[[#This Row],[Room_Revenue]]+HotelSales[[#This Row],[Restaurant_Spend]]</f>
        <v>40500</v>
      </c>
      <c r="O354" t="s">
        <v>784</v>
      </c>
    </row>
    <row r="355" spans="1:15">
      <c r="A355" t="s">
        <v>365</v>
      </c>
      <c r="B355" t="s">
        <v>665</v>
      </c>
      <c r="C355" s="2">
        <v>45901.324826388889</v>
      </c>
      <c r="D355" s="1">
        <v>45927.324826388889</v>
      </c>
      <c r="E355" s="1">
        <v>45928.324826388889</v>
      </c>
      <c r="F355">
        <f>HotelSales[[#This Row],[Check_Out]]-HotelSales[[#This Row],[Check_In]]</f>
        <v>1</v>
      </c>
      <c r="G355" t="s">
        <v>775</v>
      </c>
      <c r="H355" t="s">
        <v>778</v>
      </c>
      <c r="I355" t="s">
        <v>781</v>
      </c>
      <c r="J355">
        <v>3</v>
      </c>
      <c r="K355">
        <v>13000</v>
      </c>
      <c r="L355">
        <f>HotelSales[[#This Row],[Stay_Nights]]*HotelSales[[#This Row],[Room_Rate]]</f>
        <v>13000</v>
      </c>
      <c r="M355">
        <v>7500</v>
      </c>
      <c r="N355">
        <f>HotelSales[[#This Row],[Room_Revenue]]+HotelSales[[#This Row],[Restaurant_Spend]]</f>
        <v>20500</v>
      </c>
      <c r="O355" t="s">
        <v>787</v>
      </c>
    </row>
    <row r="356" spans="1:15">
      <c r="A356" t="s">
        <v>366</v>
      </c>
      <c r="B356" t="s">
        <v>591</v>
      </c>
      <c r="C356" s="2">
        <v>45901.327013888891</v>
      </c>
      <c r="D356" s="1">
        <v>45916.327013888891</v>
      </c>
      <c r="E356" s="1">
        <v>45921.327013888891</v>
      </c>
      <c r="F356">
        <f>HotelSales[[#This Row],[Check_Out]]-HotelSales[[#This Row],[Check_In]]</f>
        <v>5</v>
      </c>
      <c r="G356" t="s">
        <v>775</v>
      </c>
      <c r="H356" t="s">
        <v>777</v>
      </c>
      <c r="I356" t="s">
        <v>781</v>
      </c>
      <c r="J356">
        <v>4</v>
      </c>
      <c r="K356">
        <v>11000</v>
      </c>
      <c r="L356">
        <f>HotelSales[[#This Row],[Stay_Nights]]*HotelSales[[#This Row],[Room_Rate]]</f>
        <v>55000</v>
      </c>
      <c r="M356">
        <v>2500</v>
      </c>
      <c r="N356">
        <f>HotelSales[[#This Row],[Room_Revenue]]+HotelSales[[#This Row],[Restaurant_Spend]]</f>
        <v>57500</v>
      </c>
      <c r="O356" t="s">
        <v>785</v>
      </c>
    </row>
    <row r="357" spans="1:15">
      <c r="A357" t="s">
        <v>367</v>
      </c>
      <c r="B357" t="s">
        <v>733</v>
      </c>
      <c r="C357" s="2">
        <v>45901.492523148147</v>
      </c>
      <c r="D357" s="1">
        <v>45912.492523148147</v>
      </c>
      <c r="E357" s="1">
        <v>45913.492523148147</v>
      </c>
      <c r="F357">
        <f>HotelSales[[#This Row],[Check_Out]]-HotelSales[[#This Row],[Check_In]]</f>
        <v>1</v>
      </c>
      <c r="G357" t="s">
        <v>775</v>
      </c>
      <c r="H357" t="s">
        <v>778</v>
      </c>
      <c r="I357" t="s">
        <v>779</v>
      </c>
      <c r="J357">
        <v>2</v>
      </c>
      <c r="K357">
        <v>13000</v>
      </c>
      <c r="L357">
        <f>HotelSales[[#This Row],[Stay_Nights]]*HotelSales[[#This Row],[Room_Rate]]</f>
        <v>13000</v>
      </c>
      <c r="M357">
        <v>7500</v>
      </c>
      <c r="N357">
        <f>HotelSales[[#This Row],[Room_Revenue]]+HotelSales[[#This Row],[Restaurant_Spend]]</f>
        <v>20500</v>
      </c>
      <c r="O357" t="s">
        <v>787</v>
      </c>
    </row>
    <row r="358" spans="1:15">
      <c r="A358" t="s">
        <v>368</v>
      </c>
      <c r="B358" t="s">
        <v>734</v>
      </c>
      <c r="C358" s="2">
        <v>45901.540625000001</v>
      </c>
      <c r="D358" s="1">
        <v>45929.540625000001</v>
      </c>
      <c r="E358" s="1">
        <v>45933.540625000001</v>
      </c>
      <c r="F358">
        <f>HotelSales[[#This Row],[Check_Out]]-HotelSales[[#This Row],[Check_In]]</f>
        <v>4</v>
      </c>
      <c r="G358" t="s">
        <v>774</v>
      </c>
      <c r="H358" t="s">
        <v>778</v>
      </c>
      <c r="I358" t="s">
        <v>780</v>
      </c>
      <c r="J358">
        <v>3</v>
      </c>
      <c r="K358">
        <v>30000</v>
      </c>
      <c r="L358">
        <f>HotelSales[[#This Row],[Stay_Nights]]*HotelSales[[#This Row],[Room_Rate]]</f>
        <v>120000</v>
      </c>
      <c r="M358">
        <v>8500</v>
      </c>
      <c r="N358">
        <f>HotelSales[[#This Row],[Room_Revenue]]+HotelSales[[#This Row],[Restaurant_Spend]]</f>
        <v>128500</v>
      </c>
      <c r="O358" t="s">
        <v>787</v>
      </c>
    </row>
    <row r="359" spans="1:15">
      <c r="A359" t="s">
        <v>369</v>
      </c>
      <c r="B359" t="s">
        <v>735</v>
      </c>
      <c r="C359" s="2">
        <v>45903.201851851853</v>
      </c>
      <c r="D359" s="1">
        <v>45930.201851851853</v>
      </c>
      <c r="E359" s="1">
        <v>45931.201851851853</v>
      </c>
      <c r="F359">
        <f>HotelSales[[#This Row],[Check_Out]]-HotelSales[[#This Row],[Check_In]]</f>
        <v>1</v>
      </c>
      <c r="G359" t="s">
        <v>776</v>
      </c>
      <c r="H359" t="s">
        <v>778</v>
      </c>
      <c r="I359" t="s">
        <v>781</v>
      </c>
      <c r="J359">
        <v>2</v>
      </c>
      <c r="K359">
        <v>19000</v>
      </c>
      <c r="L359">
        <f>HotelSales[[#This Row],[Stay_Nights]]*HotelSales[[#This Row],[Room_Rate]]</f>
        <v>19000</v>
      </c>
      <c r="M359">
        <v>7500</v>
      </c>
      <c r="N359">
        <f>HotelSales[[#This Row],[Room_Revenue]]+HotelSales[[#This Row],[Restaurant_Spend]]</f>
        <v>26500</v>
      </c>
      <c r="O359" t="s">
        <v>785</v>
      </c>
    </row>
    <row r="360" spans="1:15">
      <c r="A360" t="s">
        <v>370</v>
      </c>
      <c r="B360" t="s">
        <v>736</v>
      </c>
      <c r="C360" s="2">
        <v>45904.399861111109</v>
      </c>
      <c r="D360" s="1">
        <v>45905.399861111109</v>
      </c>
      <c r="E360" s="1">
        <v>45908.399861111109</v>
      </c>
      <c r="F360">
        <f>HotelSales[[#This Row],[Check_Out]]-HotelSales[[#This Row],[Check_In]]</f>
        <v>3</v>
      </c>
      <c r="G360" t="s">
        <v>775</v>
      </c>
      <c r="H360" t="s">
        <v>778</v>
      </c>
      <c r="I360" t="s">
        <v>780</v>
      </c>
      <c r="J360">
        <v>2</v>
      </c>
      <c r="K360">
        <v>11000</v>
      </c>
      <c r="L360">
        <f>HotelSales[[#This Row],[Stay_Nights]]*HotelSales[[#This Row],[Room_Rate]]</f>
        <v>33000</v>
      </c>
      <c r="M360">
        <v>1000</v>
      </c>
      <c r="N360">
        <f>HotelSales[[#This Row],[Room_Revenue]]+HotelSales[[#This Row],[Restaurant_Spend]]</f>
        <v>34000</v>
      </c>
      <c r="O360" t="s">
        <v>783</v>
      </c>
    </row>
    <row r="361" spans="1:15">
      <c r="A361" t="s">
        <v>371</v>
      </c>
      <c r="B361" t="s">
        <v>711</v>
      </c>
      <c r="C361" s="2">
        <v>45906.805821759262</v>
      </c>
      <c r="D361" s="1">
        <v>45932.805821759262</v>
      </c>
      <c r="E361" s="1">
        <v>45938.805821759262</v>
      </c>
      <c r="F361">
        <f>HotelSales[[#This Row],[Check_Out]]-HotelSales[[#This Row],[Check_In]]</f>
        <v>6</v>
      </c>
      <c r="G361" t="s">
        <v>775</v>
      </c>
      <c r="H361" t="s">
        <v>778</v>
      </c>
      <c r="I361" t="s">
        <v>781</v>
      </c>
      <c r="J361">
        <v>2</v>
      </c>
      <c r="K361">
        <v>11000</v>
      </c>
      <c r="L361">
        <f>HotelSales[[#This Row],[Stay_Nights]]*HotelSales[[#This Row],[Room_Rate]]</f>
        <v>66000</v>
      </c>
      <c r="M361">
        <v>6500</v>
      </c>
      <c r="N361">
        <f>HotelSales[[#This Row],[Room_Revenue]]+HotelSales[[#This Row],[Restaurant_Spend]]</f>
        <v>72500</v>
      </c>
      <c r="O361" t="s">
        <v>787</v>
      </c>
    </row>
    <row r="362" spans="1:15">
      <c r="A362" t="s">
        <v>372</v>
      </c>
      <c r="B362" t="s">
        <v>565</v>
      </c>
      <c r="C362" s="2">
        <v>45908.133946759262</v>
      </c>
      <c r="D362" s="1">
        <v>45935.133946759262</v>
      </c>
      <c r="E362" s="1">
        <v>45937.133946759262</v>
      </c>
      <c r="F362">
        <f>HotelSales[[#This Row],[Check_Out]]-HotelSales[[#This Row],[Check_In]]</f>
        <v>2</v>
      </c>
      <c r="G362" t="s">
        <v>776</v>
      </c>
      <c r="H362" t="s">
        <v>778</v>
      </c>
      <c r="I362" t="s">
        <v>780</v>
      </c>
      <c r="J362">
        <v>3</v>
      </c>
      <c r="K362">
        <v>17000</v>
      </c>
      <c r="L362">
        <f>HotelSales[[#This Row],[Stay_Nights]]*HotelSales[[#This Row],[Room_Rate]]</f>
        <v>34000</v>
      </c>
      <c r="M362">
        <v>4500</v>
      </c>
      <c r="N362">
        <f>HotelSales[[#This Row],[Room_Revenue]]+HotelSales[[#This Row],[Restaurant_Spend]]</f>
        <v>38500</v>
      </c>
      <c r="O362" t="s">
        <v>784</v>
      </c>
    </row>
    <row r="363" spans="1:15">
      <c r="A363" t="s">
        <v>373</v>
      </c>
      <c r="B363" t="s">
        <v>524</v>
      </c>
      <c r="C363" s="2">
        <v>45908.722534722219</v>
      </c>
      <c r="D363" s="1">
        <v>45932.722534722219</v>
      </c>
      <c r="E363" s="1">
        <v>45938.722534722219</v>
      </c>
      <c r="F363">
        <f>HotelSales[[#This Row],[Check_Out]]-HotelSales[[#This Row],[Check_In]]</f>
        <v>6</v>
      </c>
      <c r="G363" t="s">
        <v>776</v>
      </c>
      <c r="H363" t="s">
        <v>778</v>
      </c>
      <c r="I363" t="s">
        <v>780</v>
      </c>
      <c r="J363">
        <v>4</v>
      </c>
      <c r="K363">
        <v>18000</v>
      </c>
      <c r="L363">
        <f>HotelSales[[#This Row],[Stay_Nights]]*HotelSales[[#This Row],[Room_Rate]]</f>
        <v>108000</v>
      </c>
      <c r="M363">
        <v>7500</v>
      </c>
      <c r="N363">
        <f>HotelSales[[#This Row],[Room_Revenue]]+HotelSales[[#This Row],[Restaurant_Spend]]</f>
        <v>115500</v>
      </c>
      <c r="O363" t="s">
        <v>785</v>
      </c>
    </row>
    <row r="364" spans="1:15">
      <c r="A364" t="s">
        <v>374</v>
      </c>
      <c r="B364" t="s">
        <v>678</v>
      </c>
      <c r="C364" s="2">
        <v>45908.806574074071</v>
      </c>
      <c r="D364" s="1">
        <v>45925.806574074071</v>
      </c>
      <c r="E364" s="1">
        <v>45931.806574074071</v>
      </c>
      <c r="F364">
        <f>HotelSales[[#This Row],[Check_Out]]-HotelSales[[#This Row],[Check_In]]</f>
        <v>6</v>
      </c>
      <c r="G364" t="s">
        <v>775</v>
      </c>
      <c r="H364" t="s">
        <v>778</v>
      </c>
      <c r="I364" t="s">
        <v>780</v>
      </c>
      <c r="J364">
        <v>3</v>
      </c>
      <c r="K364">
        <v>12000</v>
      </c>
      <c r="L364">
        <f>HotelSales[[#This Row],[Stay_Nights]]*HotelSales[[#This Row],[Room_Rate]]</f>
        <v>72000</v>
      </c>
      <c r="M364">
        <v>7500</v>
      </c>
      <c r="N364">
        <f>HotelSales[[#This Row],[Room_Revenue]]+HotelSales[[#This Row],[Restaurant_Spend]]</f>
        <v>79500</v>
      </c>
      <c r="O364" t="s">
        <v>785</v>
      </c>
    </row>
    <row r="365" spans="1:15">
      <c r="A365" t="s">
        <v>375</v>
      </c>
      <c r="B365" t="s">
        <v>712</v>
      </c>
      <c r="C365" s="2">
        <v>45908.865810185183</v>
      </c>
      <c r="D365" s="1">
        <v>45930.865810185183</v>
      </c>
      <c r="E365" s="1">
        <v>45932.865810185183</v>
      </c>
      <c r="F365">
        <f>HotelSales[[#This Row],[Check_Out]]-HotelSales[[#This Row],[Check_In]]</f>
        <v>2</v>
      </c>
      <c r="G365" t="s">
        <v>774</v>
      </c>
      <c r="H365" t="s">
        <v>778</v>
      </c>
      <c r="I365" t="s">
        <v>780</v>
      </c>
      <c r="J365">
        <v>2</v>
      </c>
      <c r="K365">
        <v>29000</v>
      </c>
      <c r="L365">
        <f>HotelSales[[#This Row],[Stay_Nights]]*HotelSales[[#This Row],[Room_Rate]]</f>
        <v>58000</v>
      </c>
      <c r="M365">
        <v>10000</v>
      </c>
      <c r="N365">
        <f>HotelSales[[#This Row],[Room_Revenue]]+HotelSales[[#This Row],[Restaurant_Spend]]</f>
        <v>68000</v>
      </c>
      <c r="O365" t="s">
        <v>783</v>
      </c>
    </row>
    <row r="366" spans="1:15">
      <c r="A366" t="s">
        <v>376</v>
      </c>
      <c r="B366" t="s">
        <v>535</v>
      </c>
      <c r="C366" s="2">
        <v>45909.196979166663</v>
      </c>
      <c r="D366" s="1">
        <v>45916.196979166663</v>
      </c>
      <c r="E366" s="1">
        <v>45917.196979166663</v>
      </c>
      <c r="F366">
        <f>HotelSales[[#This Row],[Check_Out]]-HotelSales[[#This Row],[Check_In]]</f>
        <v>1</v>
      </c>
      <c r="G366" t="s">
        <v>775</v>
      </c>
      <c r="H366" t="s">
        <v>777</v>
      </c>
      <c r="I366" t="s">
        <v>779</v>
      </c>
      <c r="J366">
        <v>4</v>
      </c>
      <c r="K366">
        <v>11000</v>
      </c>
      <c r="L366">
        <f>HotelSales[[#This Row],[Stay_Nights]]*HotelSales[[#This Row],[Room_Rate]]</f>
        <v>11000</v>
      </c>
      <c r="M366">
        <v>2500</v>
      </c>
      <c r="N366">
        <f>HotelSales[[#This Row],[Room_Revenue]]+HotelSales[[#This Row],[Restaurant_Spend]]</f>
        <v>13500</v>
      </c>
      <c r="O366" t="s">
        <v>783</v>
      </c>
    </row>
    <row r="367" spans="1:15">
      <c r="A367" t="s">
        <v>377</v>
      </c>
      <c r="B367" t="s">
        <v>623</v>
      </c>
      <c r="C367" s="2">
        <v>45909.345127314817</v>
      </c>
      <c r="D367" s="1">
        <v>45922.345127314817</v>
      </c>
      <c r="E367" s="1">
        <v>45925.345127314817</v>
      </c>
      <c r="F367">
        <f>HotelSales[[#This Row],[Check_Out]]-HotelSales[[#This Row],[Check_In]]</f>
        <v>3</v>
      </c>
      <c r="G367" t="s">
        <v>775</v>
      </c>
      <c r="H367" t="s">
        <v>778</v>
      </c>
      <c r="I367" t="s">
        <v>780</v>
      </c>
      <c r="J367">
        <v>2</v>
      </c>
      <c r="K367">
        <v>11000</v>
      </c>
      <c r="L367">
        <f>HotelSales[[#This Row],[Stay_Nights]]*HotelSales[[#This Row],[Room_Rate]]</f>
        <v>33000</v>
      </c>
      <c r="M367">
        <v>6000</v>
      </c>
      <c r="N367">
        <f>HotelSales[[#This Row],[Room_Revenue]]+HotelSales[[#This Row],[Restaurant_Spend]]</f>
        <v>39000</v>
      </c>
      <c r="O367" t="s">
        <v>787</v>
      </c>
    </row>
    <row r="368" spans="1:15">
      <c r="A368" t="s">
        <v>378</v>
      </c>
      <c r="B368" t="s">
        <v>737</v>
      </c>
      <c r="C368" s="2">
        <v>45909.762060185189</v>
      </c>
      <c r="D368" s="1">
        <v>45916.762060185189</v>
      </c>
      <c r="E368" s="1">
        <v>45918.762060185189</v>
      </c>
      <c r="F368">
        <f>HotelSales[[#This Row],[Check_Out]]-HotelSales[[#This Row],[Check_In]]</f>
        <v>2</v>
      </c>
      <c r="G368" t="s">
        <v>775</v>
      </c>
      <c r="H368" t="s">
        <v>777</v>
      </c>
      <c r="I368" t="s">
        <v>780</v>
      </c>
      <c r="J368">
        <v>4</v>
      </c>
      <c r="K368">
        <v>12000</v>
      </c>
      <c r="L368">
        <f>HotelSales[[#This Row],[Stay_Nights]]*HotelSales[[#This Row],[Room_Rate]]</f>
        <v>24000</v>
      </c>
      <c r="M368">
        <v>6500</v>
      </c>
      <c r="N368">
        <f>HotelSales[[#This Row],[Room_Revenue]]+HotelSales[[#This Row],[Restaurant_Spend]]</f>
        <v>30500</v>
      </c>
      <c r="O368" t="s">
        <v>787</v>
      </c>
    </row>
    <row r="369" spans="1:15">
      <c r="A369" t="s">
        <v>379</v>
      </c>
      <c r="B369" t="s">
        <v>589</v>
      </c>
      <c r="C369" s="2">
        <v>45910.789282407408</v>
      </c>
      <c r="D369" s="1">
        <v>45921.789282407408</v>
      </c>
      <c r="E369" s="1">
        <v>45923.789282407408</v>
      </c>
      <c r="F369">
        <f>HotelSales[[#This Row],[Check_Out]]-HotelSales[[#This Row],[Check_In]]</f>
        <v>2</v>
      </c>
      <c r="G369" t="s">
        <v>774</v>
      </c>
      <c r="H369" t="s">
        <v>777</v>
      </c>
      <c r="I369" t="s">
        <v>780</v>
      </c>
      <c r="J369">
        <v>2</v>
      </c>
      <c r="K369">
        <v>29000</v>
      </c>
      <c r="L369">
        <f>HotelSales[[#This Row],[Stay_Nights]]*HotelSales[[#This Row],[Room_Rate]]</f>
        <v>58000</v>
      </c>
      <c r="M369">
        <v>11500</v>
      </c>
      <c r="N369">
        <f>HotelSales[[#This Row],[Room_Revenue]]+HotelSales[[#This Row],[Restaurant_Spend]]</f>
        <v>69500</v>
      </c>
      <c r="O369" t="s">
        <v>786</v>
      </c>
    </row>
    <row r="370" spans="1:15">
      <c r="A370" t="s">
        <v>380</v>
      </c>
      <c r="B370" t="s">
        <v>738</v>
      </c>
      <c r="C370" s="2">
        <v>45911.472210648149</v>
      </c>
      <c r="D370" s="1">
        <v>45917.472210648149</v>
      </c>
      <c r="E370" s="1">
        <v>45921.472210648149</v>
      </c>
      <c r="F370">
        <f>HotelSales[[#This Row],[Check_Out]]-HotelSales[[#This Row],[Check_In]]</f>
        <v>4</v>
      </c>
      <c r="G370" t="s">
        <v>775</v>
      </c>
      <c r="H370" t="s">
        <v>777</v>
      </c>
      <c r="I370" t="s">
        <v>780</v>
      </c>
      <c r="J370">
        <v>4</v>
      </c>
      <c r="K370">
        <v>13000</v>
      </c>
      <c r="L370">
        <f>HotelSales[[#This Row],[Stay_Nights]]*HotelSales[[#This Row],[Room_Rate]]</f>
        <v>52000</v>
      </c>
      <c r="M370">
        <v>500</v>
      </c>
      <c r="N370">
        <f>HotelSales[[#This Row],[Room_Revenue]]+HotelSales[[#This Row],[Restaurant_Spend]]</f>
        <v>52500</v>
      </c>
      <c r="O370" t="s">
        <v>787</v>
      </c>
    </row>
    <row r="371" spans="1:15">
      <c r="A371" t="s">
        <v>381</v>
      </c>
      <c r="B371" t="s">
        <v>549</v>
      </c>
      <c r="C371" s="2">
        <v>45911.476134259261</v>
      </c>
      <c r="D371" s="1">
        <v>45912.476134259261</v>
      </c>
      <c r="E371" s="1">
        <v>45918.476134259261</v>
      </c>
      <c r="F371">
        <f>HotelSales[[#This Row],[Check_Out]]-HotelSales[[#This Row],[Check_In]]</f>
        <v>6</v>
      </c>
      <c r="G371" t="s">
        <v>775</v>
      </c>
      <c r="H371" t="s">
        <v>778</v>
      </c>
      <c r="I371" t="s">
        <v>779</v>
      </c>
      <c r="J371">
        <v>2</v>
      </c>
      <c r="K371">
        <v>13000</v>
      </c>
      <c r="L371">
        <f>HotelSales[[#This Row],[Stay_Nights]]*HotelSales[[#This Row],[Room_Rate]]</f>
        <v>78000</v>
      </c>
      <c r="M371">
        <v>11000</v>
      </c>
      <c r="N371">
        <f>HotelSales[[#This Row],[Room_Revenue]]+HotelSales[[#This Row],[Restaurant_Spend]]</f>
        <v>89000</v>
      </c>
      <c r="O371" t="s">
        <v>782</v>
      </c>
    </row>
    <row r="372" spans="1:15">
      <c r="A372" t="s">
        <v>382</v>
      </c>
      <c r="B372" t="s">
        <v>739</v>
      </c>
      <c r="C372" s="2">
        <v>45911.745393518519</v>
      </c>
      <c r="D372" s="1">
        <v>45929.745393518519</v>
      </c>
      <c r="E372" s="1">
        <v>45936.745393518519</v>
      </c>
      <c r="F372">
        <f>HotelSales[[#This Row],[Check_Out]]-HotelSales[[#This Row],[Check_In]]</f>
        <v>7</v>
      </c>
      <c r="G372" t="s">
        <v>776</v>
      </c>
      <c r="H372" t="s">
        <v>777</v>
      </c>
      <c r="I372" t="s">
        <v>780</v>
      </c>
      <c r="J372">
        <v>1</v>
      </c>
      <c r="K372">
        <v>19000</v>
      </c>
      <c r="L372">
        <f>HotelSales[[#This Row],[Stay_Nights]]*HotelSales[[#This Row],[Room_Rate]]</f>
        <v>133000</v>
      </c>
      <c r="M372">
        <v>5500</v>
      </c>
      <c r="N372">
        <f>HotelSales[[#This Row],[Room_Revenue]]+HotelSales[[#This Row],[Restaurant_Spend]]</f>
        <v>138500</v>
      </c>
      <c r="O372" t="s">
        <v>783</v>
      </c>
    </row>
    <row r="373" spans="1:15">
      <c r="A373" t="s">
        <v>383</v>
      </c>
      <c r="B373" t="s">
        <v>606</v>
      </c>
      <c r="C373" s="2">
        <v>45912.221018518518</v>
      </c>
      <c r="D373" s="1">
        <v>45924.221018518518</v>
      </c>
      <c r="E373" s="1">
        <v>45926.221018518518</v>
      </c>
      <c r="F373">
        <f>HotelSales[[#This Row],[Check_Out]]-HotelSales[[#This Row],[Check_In]]</f>
        <v>2</v>
      </c>
      <c r="G373" t="s">
        <v>776</v>
      </c>
      <c r="H373" t="s">
        <v>778</v>
      </c>
      <c r="I373" t="s">
        <v>779</v>
      </c>
      <c r="J373">
        <v>2</v>
      </c>
      <c r="K373">
        <v>18000</v>
      </c>
      <c r="L373">
        <f>HotelSales[[#This Row],[Stay_Nights]]*HotelSales[[#This Row],[Room_Rate]]</f>
        <v>36000</v>
      </c>
      <c r="M373">
        <v>3000</v>
      </c>
      <c r="N373">
        <f>HotelSales[[#This Row],[Room_Revenue]]+HotelSales[[#This Row],[Restaurant_Spend]]</f>
        <v>39000</v>
      </c>
      <c r="O373" t="s">
        <v>786</v>
      </c>
    </row>
    <row r="374" spans="1:15">
      <c r="A374" t="s">
        <v>384</v>
      </c>
      <c r="B374" t="s">
        <v>611</v>
      </c>
      <c r="C374" s="2">
        <v>45912.618425925917</v>
      </c>
      <c r="D374" s="1">
        <v>45941.618425925917</v>
      </c>
      <c r="E374" s="1">
        <v>45948.618425925917</v>
      </c>
      <c r="F374">
        <f>HotelSales[[#This Row],[Check_Out]]-HotelSales[[#This Row],[Check_In]]</f>
        <v>7</v>
      </c>
      <c r="G374" t="s">
        <v>776</v>
      </c>
      <c r="H374" t="s">
        <v>777</v>
      </c>
      <c r="I374" t="s">
        <v>780</v>
      </c>
      <c r="J374">
        <v>2</v>
      </c>
      <c r="K374">
        <v>18000</v>
      </c>
      <c r="L374">
        <f>HotelSales[[#This Row],[Stay_Nights]]*HotelSales[[#This Row],[Room_Rate]]</f>
        <v>126000</v>
      </c>
      <c r="M374">
        <v>5000</v>
      </c>
      <c r="N374">
        <f>HotelSales[[#This Row],[Room_Revenue]]+HotelSales[[#This Row],[Restaurant_Spend]]</f>
        <v>131000</v>
      </c>
      <c r="O374" t="s">
        <v>785</v>
      </c>
    </row>
    <row r="375" spans="1:15">
      <c r="A375" t="s">
        <v>385</v>
      </c>
      <c r="B375" t="s">
        <v>657</v>
      </c>
      <c r="C375" s="2">
        <v>45913.286620370367</v>
      </c>
      <c r="D375" s="1">
        <v>45914.286620370367</v>
      </c>
      <c r="E375" s="1">
        <v>45916.286620370367</v>
      </c>
      <c r="F375">
        <f>HotelSales[[#This Row],[Check_Out]]-HotelSales[[#This Row],[Check_In]]</f>
        <v>2</v>
      </c>
      <c r="G375" t="s">
        <v>774</v>
      </c>
      <c r="H375" t="s">
        <v>778</v>
      </c>
      <c r="I375" t="s">
        <v>780</v>
      </c>
      <c r="J375">
        <v>3</v>
      </c>
      <c r="K375">
        <v>29000</v>
      </c>
      <c r="L375">
        <f>HotelSales[[#This Row],[Stay_Nights]]*HotelSales[[#This Row],[Room_Rate]]</f>
        <v>58000</v>
      </c>
      <c r="M375">
        <v>6500</v>
      </c>
      <c r="N375">
        <f>HotelSales[[#This Row],[Room_Revenue]]+HotelSales[[#This Row],[Restaurant_Spend]]</f>
        <v>64500</v>
      </c>
      <c r="O375" t="s">
        <v>787</v>
      </c>
    </row>
    <row r="376" spans="1:15">
      <c r="A376" t="s">
        <v>386</v>
      </c>
      <c r="B376" t="s">
        <v>549</v>
      </c>
      <c r="C376" s="2">
        <v>45913.374236111107</v>
      </c>
      <c r="D376" s="1">
        <v>45927.374236111107</v>
      </c>
      <c r="E376" s="1">
        <v>45934.374236111107</v>
      </c>
      <c r="F376">
        <f>HotelSales[[#This Row],[Check_Out]]-HotelSales[[#This Row],[Check_In]]</f>
        <v>7</v>
      </c>
      <c r="G376" t="s">
        <v>774</v>
      </c>
      <c r="H376" t="s">
        <v>777</v>
      </c>
      <c r="I376" t="s">
        <v>780</v>
      </c>
      <c r="J376">
        <v>2</v>
      </c>
      <c r="K376">
        <v>31000</v>
      </c>
      <c r="L376">
        <f>HotelSales[[#This Row],[Stay_Nights]]*HotelSales[[#This Row],[Room_Rate]]</f>
        <v>217000</v>
      </c>
      <c r="M376">
        <v>5000</v>
      </c>
      <c r="N376">
        <f>HotelSales[[#This Row],[Room_Revenue]]+HotelSales[[#This Row],[Restaurant_Spend]]</f>
        <v>222000</v>
      </c>
      <c r="O376" t="s">
        <v>783</v>
      </c>
    </row>
    <row r="377" spans="1:15">
      <c r="A377" t="s">
        <v>387</v>
      </c>
      <c r="B377" t="s">
        <v>740</v>
      </c>
      <c r="C377" s="2">
        <v>45914.149201388893</v>
      </c>
      <c r="D377" s="1">
        <v>45927.149201388893</v>
      </c>
      <c r="E377" s="1">
        <v>45929.149201388893</v>
      </c>
      <c r="F377">
        <f>HotelSales[[#This Row],[Check_Out]]-HotelSales[[#This Row],[Check_In]]</f>
        <v>2</v>
      </c>
      <c r="G377" t="s">
        <v>775</v>
      </c>
      <c r="H377" t="s">
        <v>778</v>
      </c>
      <c r="I377" t="s">
        <v>780</v>
      </c>
      <c r="J377">
        <v>3</v>
      </c>
      <c r="K377">
        <v>11000</v>
      </c>
      <c r="L377">
        <f>HotelSales[[#This Row],[Stay_Nights]]*HotelSales[[#This Row],[Room_Rate]]</f>
        <v>22000</v>
      </c>
      <c r="M377">
        <v>5000</v>
      </c>
      <c r="N377">
        <f>HotelSales[[#This Row],[Room_Revenue]]+HotelSales[[#This Row],[Restaurant_Spend]]</f>
        <v>27000</v>
      </c>
      <c r="O377" t="s">
        <v>786</v>
      </c>
    </row>
    <row r="378" spans="1:15">
      <c r="A378" t="s">
        <v>388</v>
      </c>
      <c r="B378" t="s">
        <v>600</v>
      </c>
      <c r="C378" s="2">
        <v>45914.475729166668</v>
      </c>
      <c r="D378" s="1">
        <v>45940.475729166668</v>
      </c>
      <c r="E378" s="1">
        <v>45943.475729166668</v>
      </c>
      <c r="F378">
        <f>HotelSales[[#This Row],[Check_Out]]-HotelSales[[#This Row],[Check_In]]</f>
        <v>3</v>
      </c>
      <c r="G378" t="s">
        <v>775</v>
      </c>
      <c r="H378" t="s">
        <v>778</v>
      </c>
      <c r="I378" t="s">
        <v>779</v>
      </c>
      <c r="J378">
        <v>2</v>
      </c>
      <c r="K378">
        <v>13000</v>
      </c>
      <c r="L378">
        <f>HotelSales[[#This Row],[Stay_Nights]]*HotelSales[[#This Row],[Room_Rate]]</f>
        <v>39000</v>
      </c>
      <c r="M378">
        <v>9000</v>
      </c>
      <c r="N378">
        <f>HotelSales[[#This Row],[Room_Revenue]]+HotelSales[[#This Row],[Restaurant_Spend]]</f>
        <v>48000</v>
      </c>
      <c r="O378" t="s">
        <v>786</v>
      </c>
    </row>
    <row r="379" spans="1:15">
      <c r="A379" t="s">
        <v>389</v>
      </c>
      <c r="B379" t="s">
        <v>579</v>
      </c>
      <c r="C379" s="2">
        <v>45914.535000000003</v>
      </c>
      <c r="D379" s="1">
        <v>45929.535000000003</v>
      </c>
      <c r="E379" s="1">
        <v>45932.535000000003</v>
      </c>
      <c r="F379">
        <f>HotelSales[[#This Row],[Check_Out]]-HotelSales[[#This Row],[Check_In]]</f>
        <v>3</v>
      </c>
      <c r="G379" t="s">
        <v>774</v>
      </c>
      <c r="H379" t="s">
        <v>778</v>
      </c>
      <c r="I379" t="s">
        <v>780</v>
      </c>
      <c r="J379">
        <v>2</v>
      </c>
      <c r="K379">
        <v>29000</v>
      </c>
      <c r="L379">
        <f>HotelSales[[#This Row],[Stay_Nights]]*HotelSales[[#This Row],[Room_Rate]]</f>
        <v>87000</v>
      </c>
      <c r="M379">
        <v>4500</v>
      </c>
      <c r="N379">
        <f>HotelSales[[#This Row],[Room_Revenue]]+HotelSales[[#This Row],[Restaurant_Spend]]</f>
        <v>91500</v>
      </c>
      <c r="O379" t="s">
        <v>787</v>
      </c>
    </row>
    <row r="380" spans="1:15">
      <c r="A380" t="s">
        <v>390</v>
      </c>
      <c r="B380" t="s">
        <v>741</v>
      </c>
      <c r="C380" s="2">
        <v>45916.17359953704</v>
      </c>
      <c r="D380" s="1">
        <v>45926.17359953704</v>
      </c>
      <c r="E380" s="1">
        <v>45928.17359953704</v>
      </c>
      <c r="F380">
        <f>HotelSales[[#This Row],[Check_Out]]-HotelSales[[#This Row],[Check_In]]</f>
        <v>2</v>
      </c>
      <c r="G380" t="s">
        <v>776</v>
      </c>
      <c r="H380" t="s">
        <v>778</v>
      </c>
      <c r="I380" t="s">
        <v>780</v>
      </c>
      <c r="J380">
        <v>2</v>
      </c>
      <c r="K380">
        <v>17000</v>
      </c>
      <c r="L380">
        <f>HotelSales[[#This Row],[Stay_Nights]]*HotelSales[[#This Row],[Room_Rate]]</f>
        <v>34000</v>
      </c>
      <c r="M380">
        <v>7000</v>
      </c>
      <c r="N380">
        <f>HotelSales[[#This Row],[Room_Revenue]]+HotelSales[[#This Row],[Restaurant_Spend]]</f>
        <v>41000</v>
      </c>
      <c r="O380" t="s">
        <v>787</v>
      </c>
    </row>
    <row r="381" spans="1:15">
      <c r="A381" t="s">
        <v>391</v>
      </c>
      <c r="B381" t="s">
        <v>574</v>
      </c>
      <c r="C381" s="2">
        <v>45917.071875000001</v>
      </c>
      <c r="D381" s="1">
        <v>45937.071875000001</v>
      </c>
      <c r="E381" s="1">
        <v>45944.071875000001</v>
      </c>
      <c r="F381">
        <f>HotelSales[[#This Row],[Check_Out]]-HotelSales[[#This Row],[Check_In]]</f>
        <v>7</v>
      </c>
      <c r="G381" t="s">
        <v>776</v>
      </c>
      <c r="H381" t="s">
        <v>777</v>
      </c>
      <c r="I381" t="s">
        <v>780</v>
      </c>
      <c r="J381">
        <v>2</v>
      </c>
      <c r="K381">
        <v>19000</v>
      </c>
      <c r="L381">
        <f>HotelSales[[#This Row],[Stay_Nights]]*HotelSales[[#This Row],[Room_Rate]]</f>
        <v>133000</v>
      </c>
      <c r="M381">
        <v>7500</v>
      </c>
      <c r="N381">
        <f>HotelSales[[#This Row],[Room_Revenue]]+HotelSales[[#This Row],[Restaurant_Spend]]</f>
        <v>140500</v>
      </c>
      <c r="O381" t="s">
        <v>787</v>
      </c>
    </row>
    <row r="382" spans="1:15">
      <c r="A382" t="s">
        <v>392</v>
      </c>
      <c r="B382" t="s">
        <v>741</v>
      </c>
      <c r="C382" s="2">
        <v>45918.066076388888</v>
      </c>
      <c r="D382" s="1">
        <v>45923.066076388888</v>
      </c>
      <c r="E382" s="1">
        <v>45925.066076388888</v>
      </c>
      <c r="F382">
        <f>HotelSales[[#This Row],[Check_Out]]-HotelSales[[#This Row],[Check_In]]</f>
        <v>2</v>
      </c>
      <c r="G382" t="s">
        <v>775</v>
      </c>
      <c r="H382" t="s">
        <v>777</v>
      </c>
      <c r="I382" t="s">
        <v>781</v>
      </c>
      <c r="J382">
        <v>4</v>
      </c>
      <c r="K382">
        <v>12000</v>
      </c>
      <c r="L382">
        <f>HotelSales[[#This Row],[Stay_Nights]]*HotelSales[[#This Row],[Room_Rate]]</f>
        <v>24000</v>
      </c>
      <c r="M382">
        <v>3500</v>
      </c>
      <c r="N382">
        <f>HotelSales[[#This Row],[Room_Revenue]]+HotelSales[[#This Row],[Restaurant_Spend]]</f>
        <v>27500</v>
      </c>
      <c r="O382" t="s">
        <v>787</v>
      </c>
    </row>
    <row r="383" spans="1:15">
      <c r="A383" t="s">
        <v>393</v>
      </c>
      <c r="B383" t="s">
        <v>556</v>
      </c>
      <c r="C383" s="2">
        <v>45918.196215277778</v>
      </c>
      <c r="D383" s="1">
        <v>45923.196215277778</v>
      </c>
      <c r="E383" s="1">
        <v>45926.196215277778</v>
      </c>
      <c r="F383">
        <f>HotelSales[[#This Row],[Check_Out]]-HotelSales[[#This Row],[Check_In]]</f>
        <v>3</v>
      </c>
      <c r="G383" t="s">
        <v>775</v>
      </c>
      <c r="H383" t="s">
        <v>778</v>
      </c>
      <c r="I383" t="s">
        <v>780</v>
      </c>
      <c r="J383">
        <v>1</v>
      </c>
      <c r="K383">
        <v>11000</v>
      </c>
      <c r="L383">
        <f>HotelSales[[#This Row],[Stay_Nights]]*HotelSales[[#This Row],[Room_Rate]]</f>
        <v>33000</v>
      </c>
      <c r="M383">
        <v>2000</v>
      </c>
      <c r="N383">
        <f>HotelSales[[#This Row],[Room_Revenue]]+HotelSales[[#This Row],[Restaurant_Spend]]</f>
        <v>35000</v>
      </c>
      <c r="O383" t="s">
        <v>782</v>
      </c>
    </row>
    <row r="384" spans="1:15">
      <c r="A384" t="s">
        <v>394</v>
      </c>
      <c r="B384" t="s">
        <v>742</v>
      </c>
      <c r="C384" s="2">
        <v>45918.669027777767</v>
      </c>
      <c r="D384" s="1">
        <v>45927.669027777767</v>
      </c>
      <c r="E384" s="1">
        <v>45933.669027777767</v>
      </c>
      <c r="F384">
        <f>HotelSales[[#This Row],[Check_Out]]-HotelSales[[#This Row],[Check_In]]</f>
        <v>6</v>
      </c>
      <c r="G384" t="s">
        <v>775</v>
      </c>
      <c r="H384" t="s">
        <v>778</v>
      </c>
      <c r="I384" t="s">
        <v>780</v>
      </c>
      <c r="J384">
        <v>2</v>
      </c>
      <c r="K384">
        <v>11000</v>
      </c>
      <c r="L384">
        <f>HotelSales[[#This Row],[Stay_Nights]]*HotelSales[[#This Row],[Room_Rate]]</f>
        <v>66000</v>
      </c>
      <c r="M384">
        <v>8000</v>
      </c>
      <c r="N384">
        <f>HotelSales[[#This Row],[Room_Revenue]]+HotelSales[[#This Row],[Restaurant_Spend]]</f>
        <v>74000</v>
      </c>
      <c r="O384" t="s">
        <v>784</v>
      </c>
    </row>
    <row r="385" spans="1:15">
      <c r="A385" t="s">
        <v>395</v>
      </c>
      <c r="B385" t="s">
        <v>535</v>
      </c>
      <c r="C385" s="2">
        <v>45919.097002314818</v>
      </c>
      <c r="D385" s="1">
        <v>45940.097002314818</v>
      </c>
      <c r="E385" s="1">
        <v>45944.097002314818</v>
      </c>
      <c r="F385">
        <f>HotelSales[[#This Row],[Check_Out]]-HotelSales[[#This Row],[Check_In]]</f>
        <v>4</v>
      </c>
      <c r="G385" t="s">
        <v>775</v>
      </c>
      <c r="H385" t="s">
        <v>777</v>
      </c>
      <c r="I385" t="s">
        <v>779</v>
      </c>
      <c r="J385">
        <v>1</v>
      </c>
      <c r="K385">
        <v>13000</v>
      </c>
      <c r="L385">
        <f>HotelSales[[#This Row],[Stay_Nights]]*HotelSales[[#This Row],[Room_Rate]]</f>
        <v>52000</v>
      </c>
      <c r="M385">
        <v>13000</v>
      </c>
      <c r="N385">
        <f>HotelSales[[#This Row],[Room_Revenue]]+HotelSales[[#This Row],[Restaurant_Spend]]</f>
        <v>65000</v>
      </c>
      <c r="O385" t="s">
        <v>785</v>
      </c>
    </row>
    <row r="386" spans="1:15">
      <c r="A386" t="s">
        <v>396</v>
      </c>
      <c r="B386" t="s">
        <v>715</v>
      </c>
      <c r="C386" s="2">
        <v>45919.90347222222</v>
      </c>
      <c r="D386" s="1">
        <v>45943.90347222222</v>
      </c>
      <c r="E386" s="1">
        <v>45945.90347222222</v>
      </c>
      <c r="F386">
        <f>HotelSales[[#This Row],[Check_Out]]-HotelSales[[#This Row],[Check_In]]</f>
        <v>2</v>
      </c>
      <c r="G386" t="s">
        <v>775</v>
      </c>
      <c r="H386" t="s">
        <v>778</v>
      </c>
      <c r="I386" t="s">
        <v>779</v>
      </c>
      <c r="J386">
        <v>4</v>
      </c>
      <c r="K386">
        <v>13000</v>
      </c>
      <c r="L386">
        <f>HotelSales[[#This Row],[Stay_Nights]]*HotelSales[[#This Row],[Room_Rate]]</f>
        <v>26000</v>
      </c>
      <c r="M386">
        <v>5500</v>
      </c>
      <c r="N386">
        <f>HotelSales[[#This Row],[Room_Revenue]]+HotelSales[[#This Row],[Restaurant_Spend]]</f>
        <v>31500</v>
      </c>
      <c r="O386" t="s">
        <v>786</v>
      </c>
    </row>
    <row r="387" spans="1:15">
      <c r="A387" t="s">
        <v>397</v>
      </c>
      <c r="B387" t="s">
        <v>722</v>
      </c>
      <c r="C387" s="2">
        <v>45920.641250000001</v>
      </c>
      <c r="D387" s="1">
        <v>45946.641250000001</v>
      </c>
      <c r="E387" s="1">
        <v>45952.641250000001</v>
      </c>
      <c r="F387">
        <f>HotelSales[[#This Row],[Check_Out]]-HotelSales[[#This Row],[Check_In]]</f>
        <v>6</v>
      </c>
      <c r="G387" t="s">
        <v>775</v>
      </c>
      <c r="H387" t="s">
        <v>778</v>
      </c>
      <c r="I387" t="s">
        <v>780</v>
      </c>
      <c r="J387">
        <v>2</v>
      </c>
      <c r="K387">
        <v>11000</v>
      </c>
      <c r="L387">
        <f>HotelSales[[#This Row],[Stay_Nights]]*HotelSales[[#This Row],[Room_Rate]]</f>
        <v>66000</v>
      </c>
      <c r="M387">
        <v>3000</v>
      </c>
      <c r="N387">
        <f>HotelSales[[#This Row],[Room_Revenue]]+HotelSales[[#This Row],[Restaurant_Spend]]</f>
        <v>69000</v>
      </c>
      <c r="O387" t="s">
        <v>786</v>
      </c>
    </row>
    <row r="388" spans="1:15">
      <c r="A388" t="s">
        <v>398</v>
      </c>
      <c r="B388" t="s">
        <v>631</v>
      </c>
      <c r="C388" s="2">
        <v>45921.198506944442</v>
      </c>
      <c r="D388" s="1">
        <v>45944.198506944442</v>
      </c>
      <c r="E388" s="1">
        <v>45946.198506944442</v>
      </c>
      <c r="F388">
        <f>HotelSales[[#This Row],[Check_Out]]-HotelSales[[#This Row],[Check_In]]</f>
        <v>2</v>
      </c>
      <c r="G388" t="s">
        <v>776</v>
      </c>
      <c r="H388" t="s">
        <v>777</v>
      </c>
      <c r="I388" t="s">
        <v>780</v>
      </c>
      <c r="J388">
        <v>1</v>
      </c>
      <c r="K388">
        <v>18000</v>
      </c>
      <c r="L388">
        <f>HotelSales[[#This Row],[Stay_Nights]]*HotelSales[[#This Row],[Room_Rate]]</f>
        <v>36000</v>
      </c>
      <c r="M388">
        <v>8500</v>
      </c>
      <c r="N388">
        <f>HotelSales[[#This Row],[Room_Revenue]]+HotelSales[[#This Row],[Restaurant_Spend]]</f>
        <v>44500</v>
      </c>
      <c r="O388" t="s">
        <v>784</v>
      </c>
    </row>
    <row r="389" spans="1:15">
      <c r="A389" t="s">
        <v>399</v>
      </c>
      <c r="B389" t="s">
        <v>707</v>
      </c>
      <c r="C389" s="2">
        <v>45923.087210648147</v>
      </c>
      <c r="D389" s="1">
        <v>45950.087210648147</v>
      </c>
      <c r="E389" s="1">
        <v>45951.087210648147</v>
      </c>
      <c r="F389">
        <f>HotelSales[[#This Row],[Check_Out]]-HotelSales[[#This Row],[Check_In]]</f>
        <v>1</v>
      </c>
      <c r="G389" t="s">
        <v>776</v>
      </c>
      <c r="H389" t="s">
        <v>778</v>
      </c>
      <c r="I389" t="s">
        <v>780</v>
      </c>
      <c r="J389">
        <v>3</v>
      </c>
      <c r="K389">
        <v>18000</v>
      </c>
      <c r="L389">
        <f>HotelSales[[#This Row],[Stay_Nights]]*HotelSales[[#This Row],[Room_Rate]]</f>
        <v>18000</v>
      </c>
      <c r="M389">
        <v>5500</v>
      </c>
      <c r="N389">
        <f>HotelSales[[#This Row],[Room_Revenue]]+HotelSales[[#This Row],[Restaurant_Spend]]</f>
        <v>23500</v>
      </c>
      <c r="O389" t="s">
        <v>784</v>
      </c>
    </row>
    <row r="390" spans="1:15">
      <c r="A390" t="s">
        <v>400</v>
      </c>
      <c r="B390" t="s">
        <v>743</v>
      </c>
      <c r="C390" s="2">
        <v>45923.484976851847</v>
      </c>
      <c r="D390" s="1">
        <v>45953.484976851847</v>
      </c>
      <c r="E390" s="1">
        <v>45956.484976851847</v>
      </c>
      <c r="F390">
        <f>HotelSales[[#This Row],[Check_Out]]-HotelSales[[#This Row],[Check_In]]</f>
        <v>3</v>
      </c>
      <c r="G390" t="s">
        <v>776</v>
      </c>
      <c r="H390" t="s">
        <v>777</v>
      </c>
      <c r="I390" t="s">
        <v>781</v>
      </c>
      <c r="J390">
        <v>2</v>
      </c>
      <c r="K390">
        <v>18000</v>
      </c>
      <c r="L390">
        <f>HotelSales[[#This Row],[Stay_Nights]]*HotelSales[[#This Row],[Room_Rate]]</f>
        <v>54000</v>
      </c>
      <c r="M390">
        <v>11000</v>
      </c>
      <c r="N390">
        <f>HotelSales[[#This Row],[Room_Revenue]]+HotelSales[[#This Row],[Restaurant_Spend]]</f>
        <v>65000</v>
      </c>
      <c r="O390" t="s">
        <v>785</v>
      </c>
    </row>
    <row r="391" spans="1:15">
      <c r="A391" t="s">
        <v>401</v>
      </c>
      <c r="B391" t="s">
        <v>512</v>
      </c>
      <c r="C391" s="2">
        <v>45923.710162037038</v>
      </c>
      <c r="D391" s="1">
        <v>45938.710162037038</v>
      </c>
      <c r="E391" s="1">
        <v>45940.710162037038</v>
      </c>
      <c r="F391">
        <f>HotelSales[[#This Row],[Check_Out]]-HotelSales[[#This Row],[Check_In]]</f>
        <v>2</v>
      </c>
      <c r="G391" t="s">
        <v>775</v>
      </c>
      <c r="H391" t="s">
        <v>778</v>
      </c>
      <c r="I391" t="s">
        <v>781</v>
      </c>
      <c r="J391">
        <v>4</v>
      </c>
      <c r="K391">
        <v>13000</v>
      </c>
      <c r="L391">
        <f>HotelSales[[#This Row],[Stay_Nights]]*HotelSales[[#This Row],[Room_Rate]]</f>
        <v>26000</v>
      </c>
      <c r="M391">
        <v>7000</v>
      </c>
      <c r="N391">
        <f>HotelSales[[#This Row],[Room_Revenue]]+HotelSales[[#This Row],[Restaurant_Spend]]</f>
        <v>33000</v>
      </c>
      <c r="O391" t="s">
        <v>783</v>
      </c>
    </row>
    <row r="392" spans="1:15">
      <c r="A392" t="s">
        <v>402</v>
      </c>
      <c r="B392" t="s">
        <v>744</v>
      </c>
      <c r="C392" s="2">
        <v>45923.81931712963</v>
      </c>
      <c r="D392" s="1">
        <v>45934.81931712963</v>
      </c>
      <c r="E392" s="1">
        <v>45935.81931712963</v>
      </c>
      <c r="F392">
        <f>HotelSales[[#This Row],[Check_Out]]-HotelSales[[#This Row],[Check_In]]</f>
        <v>1</v>
      </c>
      <c r="G392" t="s">
        <v>775</v>
      </c>
      <c r="H392" t="s">
        <v>778</v>
      </c>
      <c r="I392" t="s">
        <v>780</v>
      </c>
      <c r="J392">
        <v>2</v>
      </c>
      <c r="K392">
        <v>11000</v>
      </c>
      <c r="L392">
        <f>HotelSales[[#This Row],[Stay_Nights]]*HotelSales[[#This Row],[Room_Rate]]</f>
        <v>11000</v>
      </c>
      <c r="M392">
        <v>0</v>
      </c>
      <c r="N392">
        <f>HotelSales[[#This Row],[Room_Revenue]]+HotelSales[[#This Row],[Restaurant_Spend]]</f>
        <v>11000</v>
      </c>
      <c r="O392" t="s">
        <v>785</v>
      </c>
    </row>
    <row r="393" spans="1:15">
      <c r="A393" t="s">
        <v>403</v>
      </c>
      <c r="B393" t="s">
        <v>570</v>
      </c>
      <c r="C393" s="2">
        <v>45923.909016203703</v>
      </c>
      <c r="D393" s="1">
        <v>45947.909016203703</v>
      </c>
      <c r="E393" s="1">
        <v>45948.909016203703</v>
      </c>
      <c r="F393">
        <f>HotelSales[[#This Row],[Check_Out]]-HotelSales[[#This Row],[Check_In]]</f>
        <v>1</v>
      </c>
      <c r="G393" t="s">
        <v>775</v>
      </c>
      <c r="H393" t="s">
        <v>778</v>
      </c>
      <c r="I393" t="s">
        <v>781</v>
      </c>
      <c r="J393">
        <v>3</v>
      </c>
      <c r="K393">
        <v>13000</v>
      </c>
      <c r="L393">
        <f>HotelSales[[#This Row],[Stay_Nights]]*HotelSales[[#This Row],[Room_Rate]]</f>
        <v>13000</v>
      </c>
      <c r="M393">
        <v>1000</v>
      </c>
      <c r="N393">
        <f>HotelSales[[#This Row],[Room_Revenue]]+HotelSales[[#This Row],[Restaurant_Spend]]</f>
        <v>14000</v>
      </c>
      <c r="O393" t="s">
        <v>784</v>
      </c>
    </row>
    <row r="394" spans="1:15">
      <c r="A394" t="s">
        <v>404</v>
      </c>
      <c r="B394" t="s">
        <v>722</v>
      </c>
      <c r="C394" s="2">
        <v>45924.445428240739</v>
      </c>
      <c r="D394" s="1">
        <v>45940.445428240739</v>
      </c>
      <c r="E394" s="1">
        <v>45944.445428240739</v>
      </c>
      <c r="F394">
        <f>HotelSales[[#This Row],[Check_Out]]-HotelSales[[#This Row],[Check_In]]</f>
        <v>4</v>
      </c>
      <c r="G394" t="s">
        <v>776</v>
      </c>
      <c r="H394" t="s">
        <v>778</v>
      </c>
      <c r="I394" t="s">
        <v>781</v>
      </c>
      <c r="J394">
        <v>2</v>
      </c>
      <c r="K394">
        <v>19000</v>
      </c>
      <c r="L394">
        <f>HotelSales[[#This Row],[Stay_Nights]]*HotelSales[[#This Row],[Room_Rate]]</f>
        <v>76000</v>
      </c>
      <c r="M394">
        <v>5000</v>
      </c>
      <c r="N394">
        <f>HotelSales[[#This Row],[Room_Revenue]]+HotelSales[[#This Row],[Restaurant_Spend]]</f>
        <v>81000</v>
      </c>
      <c r="O394" t="s">
        <v>786</v>
      </c>
    </row>
    <row r="395" spans="1:15">
      <c r="A395" t="s">
        <v>405</v>
      </c>
      <c r="B395" t="s">
        <v>670</v>
      </c>
      <c r="C395" s="2">
        <v>45925.228495370371</v>
      </c>
      <c r="D395" s="1">
        <v>45942.228495370371</v>
      </c>
      <c r="E395" s="1">
        <v>45946.228495370371</v>
      </c>
      <c r="F395">
        <f>HotelSales[[#This Row],[Check_Out]]-HotelSales[[#This Row],[Check_In]]</f>
        <v>4</v>
      </c>
      <c r="G395" t="s">
        <v>775</v>
      </c>
      <c r="H395" t="s">
        <v>777</v>
      </c>
      <c r="I395" t="s">
        <v>779</v>
      </c>
      <c r="J395">
        <v>3</v>
      </c>
      <c r="K395">
        <v>12000</v>
      </c>
      <c r="L395">
        <f>HotelSales[[#This Row],[Stay_Nights]]*HotelSales[[#This Row],[Room_Rate]]</f>
        <v>48000</v>
      </c>
      <c r="M395">
        <v>5500</v>
      </c>
      <c r="N395">
        <f>HotelSales[[#This Row],[Room_Revenue]]+HotelSales[[#This Row],[Restaurant_Spend]]</f>
        <v>53500</v>
      </c>
      <c r="O395" t="s">
        <v>782</v>
      </c>
    </row>
    <row r="396" spans="1:15">
      <c r="A396" t="s">
        <v>406</v>
      </c>
      <c r="B396" t="s">
        <v>598</v>
      </c>
      <c r="C396" s="2">
        <v>45925.95621527778</v>
      </c>
      <c r="D396" s="1">
        <v>45955.95621527778</v>
      </c>
      <c r="E396" s="1">
        <v>45959.95621527778</v>
      </c>
      <c r="F396">
        <f>HotelSales[[#This Row],[Check_Out]]-HotelSales[[#This Row],[Check_In]]</f>
        <v>4</v>
      </c>
      <c r="G396" t="s">
        <v>775</v>
      </c>
      <c r="H396" t="s">
        <v>778</v>
      </c>
      <c r="I396" t="s">
        <v>780</v>
      </c>
      <c r="J396">
        <v>1</v>
      </c>
      <c r="K396">
        <v>12000</v>
      </c>
      <c r="L396">
        <f>HotelSales[[#This Row],[Stay_Nights]]*HotelSales[[#This Row],[Room_Rate]]</f>
        <v>48000</v>
      </c>
      <c r="M396">
        <v>11000</v>
      </c>
      <c r="N396">
        <f>HotelSales[[#This Row],[Room_Revenue]]+HotelSales[[#This Row],[Restaurant_Spend]]</f>
        <v>59000</v>
      </c>
      <c r="O396" t="s">
        <v>787</v>
      </c>
    </row>
    <row r="397" spans="1:15">
      <c r="A397" t="s">
        <v>407</v>
      </c>
      <c r="B397" t="s">
        <v>745</v>
      </c>
      <c r="C397" s="2">
        <v>45926.99287037037</v>
      </c>
      <c r="D397" s="1">
        <v>45948.99287037037</v>
      </c>
      <c r="E397" s="1">
        <v>45950.99287037037</v>
      </c>
      <c r="F397">
        <f>HotelSales[[#This Row],[Check_Out]]-HotelSales[[#This Row],[Check_In]]</f>
        <v>2</v>
      </c>
      <c r="G397" t="s">
        <v>775</v>
      </c>
      <c r="H397" t="s">
        <v>778</v>
      </c>
      <c r="I397" t="s">
        <v>781</v>
      </c>
      <c r="J397">
        <v>2</v>
      </c>
      <c r="K397">
        <v>13000</v>
      </c>
      <c r="L397">
        <f>HotelSales[[#This Row],[Stay_Nights]]*HotelSales[[#This Row],[Room_Rate]]</f>
        <v>26000</v>
      </c>
      <c r="M397">
        <v>11000</v>
      </c>
      <c r="N397">
        <f>HotelSales[[#This Row],[Room_Revenue]]+HotelSales[[#This Row],[Restaurant_Spend]]</f>
        <v>37000</v>
      </c>
      <c r="O397" t="s">
        <v>783</v>
      </c>
    </row>
    <row r="398" spans="1:15">
      <c r="A398" t="s">
        <v>408</v>
      </c>
      <c r="B398" t="s">
        <v>746</v>
      </c>
      <c r="C398" s="2">
        <v>45927.255509259259</v>
      </c>
      <c r="D398" s="1">
        <v>45944.255509259259</v>
      </c>
      <c r="E398" s="1">
        <v>45947.255509259259</v>
      </c>
      <c r="F398">
        <f>HotelSales[[#This Row],[Check_Out]]-HotelSales[[#This Row],[Check_In]]</f>
        <v>3</v>
      </c>
      <c r="G398" t="s">
        <v>775</v>
      </c>
      <c r="H398" t="s">
        <v>777</v>
      </c>
      <c r="I398" t="s">
        <v>780</v>
      </c>
      <c r="J398">
        <v>2</v>
      </c>
      <c r="K398">
        <v>11000</v>
      </c>
      <c r="L398">
        <f>HotelSales[[#This Row],[Stay_Nights]]*HotelSales[[#This Row],[Room_Rate]]</f>
        <v>33000</v>
      </c>
      <c r="M398">
        <v>3500</v>
      </c>
      <c r="N398">
        <f>HotelSales[[#This Row],[Room_Revenue]]+HotelSales[[#This Row],[Restaurant_Spend]]</f>
        <v>36500</v>
      </c>
      <c r="O398" t="s">
        <v>786</v>
      </c>
    </row>
    <row r="399" spans="1:15">
      <c r="A399" t="s">
        <v>409</v>
      </c>
      <c r="B399" t="s">
        <v>609</v>
      </c>
      <c r="C399" s="2">
        <v>45927.998680555553</v>
      </c>
      <c r="D399" s="1">
        <v>45941.998680555553</v>
      </c>
      <c r="E399" s="1">
        <v>45947.998680555553</v>
      </c>
      <c r="F399">
        <f>HotelSales[[#This Row],[Check_Out]]-HotelSales[[#This Row],[Check_In]]</f>
        <v>6</v>
      </c>
      <c r="G399" t="s">
        <v>775</v>
      </c>
      <c r="H399" t="s">
        <v>777</v>
      </c>
      <c r="I399" t="s">
        <v>780</v>
      </c>
      <c r="J399">
        <v>3</v>
      </c>
      <c r="K399">
        <v>12000</v>
      </c>
      <c r="L399">
        <f>HotelSales[[#This Row],[Stay_Nights]]*HotelSales[[#This Row],[Room_Rate]]</f>
        <v>72000</v>
      </c>
      <c r="M399">
        <v>11000</v>
      </c>
      <c r="N399">
        <f>HotelSales[[#This Row],[Room_Revenue]]+HotelSales[[#This Row],[Restaurant_Spend]]</f>
        <v>83000</v>
      </c>
      <c r="O399" t="s">
        <v>787</v>
      </c>
    </row>
    <row r="400" spans="1:15">
      <c r="A400" t="s">
        <v>410</v>
      </c>
      <c r="B400" t="s">
        <v>654</v>
      </c>
      <c r="C400" s="2">
        <v>45928.086076388892</v>
      </c>
      <c r="D400" s="1">
        <v>45931.086076388892</v>
      </c>
      <c r="E400" s="1">
        <v>45936.086076388892</v>
      </c>
      <c r="F400">
        <f>HotelSales[[#This Row],[Check_Out]]-HotelSales[[#This Row],[Check_In]]</f>
        <v>5</v>
      </c>
      <c r="G400" t="s">
        <v>775</v>
      </c>
      <c r="H400" t="s">
        <v>778</v>
      </c>
      <c r="I400" t="s">
        <v>781</v>
      </c>
      <c r="J400">
        <v>4</v>
      </c>
      <c r="K400">
        <v>13000</v>
      </c>
      <c r="L400">
        <f>HotelSales[[#This Row],[Stay_Nights]]*HotelSales[[#This Row],[Room_Rate]]</f>
        <v>65000</v>
      </c>
      <c r="M400">
        <v>3000</v>
      </c>
      <c r="N400">
        <f>HotelSales[[#This Row],[Room_Revenue]]+HotelSales[[#This Row],[Restaurant_Spend]]</f>
        <v>68000</v>
      </c>
      <c r="O400" t="s">
        <v>782</v>
      </c>
    </row>
    <row r="401" spans="1:15">
      <c r="A401" t="s">
        <v>411</v>
      </c>
      <c r="B401" t="s">
        <v>532</v>
      </c>
      <c r="C401" s="2">
        <v>45929.213414351849</v>
      </c>
      <c r="D401" s="1">
        <v>45934.213414351849</v>
      </c>
      <c r="E401" s="1">
        <v>45937.213414351849</v>
      </c>
      <c r="F401">
        <f>HotelSales[[#This Row],[Check_Out]]-HotelSales[[#This Row],[Check_In]]</f>
        <v>3</v>
      </c>
      <c r="G401" t="s">
        <v>774</v>
      </c>
      <c r="H401" t="s">
        <v>778</v>
      </c>
      <c r="I401" t="s">
        <v>780</v>
      </c>
      <c r="J401">
        <v>3</v>
      </c>
      <c r="K401">
        <v>30000</v>
      </c>
      <c r="L401">
        <f>HotelSales[[#This Row],[Stay_Nights]]*HotelSales[[#This Row],[Room_Rate]]</f>
        <v>90000</v>
      </c>
      <c r="M401">
        <v>1000</v>
      </c>
      <c r="N401">
        <f>HotelSales[[#This Row],[Room_Revenue]]+HotelSales[[#This Row],[Restaurant_Spend]]</f>
        <v>91000</v>
      </c>
      <c r="O401" t="s">
        <v>784</v>
      </c>
    </row>
    <row r="402" spans="1:15">
      <c r="A402" t="s">
        <v>412</v>
      </c>
      <c r="B402" t="s">
        <v>747</v>
      </c>
      <c r="C402" s="2">
        <v>45931.317696759259</v>
      </c>
      <c r="D402" s="1">
        <v>45956.317696759259</v>
      </c>
      <c r="E402" s="1">
        <v>45962.317696759259</v>
      </c>
      <c r="F402">
        <f>HotelSales[[#This Row],[Check_Out]]-HotelSales[[#This Row],[Check_In]]</f>
        <v>6</v>
      </c>
      <c r="G402" t="s">
        <v>774</v>
      </c>
      <c r="H402" t="s">
        <v>778</v>
      </c>
      <c r="I402" t="s">
        <v>780</v>
      </c>
      <c r="J402">
        <v>4</v>
      </c>
      <c r="K402">
        <v>30000</v>
      </c>
      <c r="L402">
        <f>HotelSales[[#This Row],[Stay_Nights]]*HotelSales[[#This Row],[Room_Rate]]</f>
        <v>180000</v>
      </c>
      <c r="M402">
        <v>3000</v>
      </c>
      <c r="N402">
        <f>HotelSales[[#This Row],[Room_Revenue]]+HotelSales[[#This Row],[Restaurant_Spend]]</f>
        <v>183000</v>
      </c>
      <c r="O402" t="s">
        <v>787</v>
      </c>
    </row>
    <row r="403" spans="1:15">
      <c r="A403" t="s">
        <v>413</v>
      </c>
      <c r="B403" t="s">
        <v>524</v>
      </c>
      <c r="C403" s="2">
        <v>45932.08625</v>
      </c>
      <c r="D403" s="1">
        <v>45956.08625</v>
      </c>
      <c r="E403" s="1">
        <v>45958.08625</v>
      </c>
      <c r="F403">
        <f>HotelSales[[#This Row],[Check_Out]]-HotelSales[[#This Row],[Check_In]]</f>
        <v>2</v>
      </c>
      <c r="G403" t="s">
        <v>776</v>
      </c>
      <c r="H403" t="s">
        <v>778</v>
      </c>
      <c r="I403" t="s">
        <v>779</v>
      </c>
      <c r="J403">
        <v>1</v>
      </c>
      <c r="K403">
        <v>18000</v>
      </c>
      <c r="L403">
        <f>HotelSales[[#This Row],[Stay_Nights]]*HotelSales[[#This Row],[Room_Rate]]</f>
        <v>36000</v>
      </c>
      <c r="M403">
        <v>2000</v>
      </c>
      <c r="N403">
        <f>HotelSales[[#This Row],[Room_Revenue]]+HotelSales[[#This Row],[Restaurant_Spend]]</f>
        <v>38000</v>
      </c>
      <c r="O403" t="s">
        <v>783</v>
      </c>
    </row>
    <row r="404" spans="1:15">
      <c r="A404" t="s">
        <v>414</v>
      </c>
      <c r="B404" t="s">
        <v>574</v>
      </c>
      <c r="C404" s="2">
        <v>45932.953159722223</v>
      </c>
      <c r="D404" s="1">
        <v>45936.953159722223</v>
      </c>
      <c r="E404" s="1">
        <v>45942.953159722223</v>
      </c>
      <c r="F404">
        <f>HotelSales[[#This Row],[Check_Out]]-HotelSales[[#This Row],[Check_In]]</f>
        <v>6</v>
      </c>
      <c r="G404" t="s">
        <v>776</v>
      </c>
      <c r="H404" t="s">
        <v>777</v>
      </c>
      <c r="I404" t="s">
        <v>780</v>
      </c>
      <c r="J404">
        <v>2</v>
      </c>
      <c r="K404">
        <v>19000</v>
      </c>
      <c r="L404">
        <f>HotelSales[[#This Row],[Stay_Nights]]*HotelSales[[#This Row],[Room_Rate]]</f>
        <v>114000</v>
      </c>
      <c r="M404">
        <v>5500</v>
      </c>
      <c r="N404">
        <f>HotelSales[[#This Row],[Room_Revenue]]+HotelSales[[#This Row],[Restaurant_Spend]]</f>
        <v>119500</v>
      </c>
      <c r="O404" t="s">
        <v>786</v>
      </c>
    </row>
    <row r="405" spans="1:15">
      <c r="A405" t="s">
        <v>415</v>
      </c>
      <c r="B405" t="s">
        <v>515</v>
      </c>
      <c r="C405" s="2">
        <v>45933.084699074083</v>
      </c>
      <c r="D405" s="1">
        <v>45953.084699074083</v>
      </c>
      <c r="E405" s="1">
        <v>45957.084699074083</v>
      </c>
      <c r="F405">
        <f>HotelSales[[#This Row],[Check_Out]]-HotelSales[[#This Row],[Check_In]]</f>
        <v>4</v>
      </c>
      <c r="G405" t="s">
        <v>775</v>
      </c>
      <c r="H405" t="s">
        <v>778</v>
      </c>
      <c r="I405" t="s">
        <v>780</v>
      </c>
      <c r="J405">
        <v>4</v>
      </c>
      <c r="K405">
        <v>12000</v>
      </c>
      <c r="L405">
        <f>HotelSales[[#This Row],[Stay_Nights]]*HotelSales[[#This Row],[Room_Rate]]</f>
        <v>48000</v>
      </c>
      <c r="M405">
        <v>9000</v>
      </c>
      <c r="N405">
        <f>HotelSales[[#This Row],[Room_Revenue]]+HotelSales[[#This Row],[Restaurant_Spend]]</f>
        <v>57000</v>
      </c>
      <c r="O405" t="s">
        <v>785</v>
      </c>
    </row>
    <row r="406" spans="1:15">
      <c r="A406" t="s">
        <v>416</v>
      </c>
      <c r="B406" t="s">
        <v>561</v>
      </c>
      <c r="C406" s="2">
        <v>45933.933171296303</v>
      </c>
      <c r="D406" s="1">
        <v>45939.933171296303</v>
      </c>
      <c r="E406" s="1">
        <v>45944.933171296303</v>
      </c>
      <c r="F406">
        <f>HotelSales[[#This Row],[Check_Out]]-HotelSales[[#This Row],[Check_In]]</f>
        <v>5</v>
      </c>
      <c r="G406" t="s">
        <v>776</v>
      </c>
      <c r="H406" t="s">
        <v>778</v>
      </c>
      <c r="I406" t="s">
        <v>781</v>
      </c>
      <c r="J406">
        <v>1</v>
      </c>
      <c r="K406">
        <v>18000</v>
      </c>
      <c r="L406">
        <f>HotelSales[[#This Row],[Stay_Nights]]*HotelSales[[#This Row],[Room_Rate]]</f>
        <v>90000</v>
      </c>
      <c r="M406">
        <v>8000</v>
      </c>
      <c r="N406">
        <f>HotelSales[[#This Row],[Room_Revenue]]+HotelSales[[#This Row],[Restaurant_Spend]]</f>
        <v>98000</v>
      </c>
      <c r="O406" t="s">
        <v>786</v>
      </c>
    </row>
    <row r="407" spans="1:15">
      <c r="A407" t="s">
        <v>417</v>
      </c>
      <c r="B407" t="s">
        <v>618</v>
      </c>
      <c r="C407" s="2">
        <v>45934.614918981482</v>
      </c>
      <c r="D407" s="1">
        <v>45938.614918981482</v>
      </c>
      <c r="E407" s="1">
        <v>45943.614918981482</v>
      </c>
      <c r="F407">
        <f>HotelSales[[#This Row],[Check_Out]]-HotelSales[[#This Row],[Check_In]]</f>
        <v>5</v>
      </c>
      <c r="G407" t="s">
        <v>774</v>
      </c>
      <c r="H407" t="s">
        <v>778</v>
      </c>
      <c r="I407" t="s">
        <v>780</v>
      </c>
      <c r="J407">
        <v>1</v>
      </c>
      <c r="K407">
        <v>31000</v>
      </c>
      <c r="L407">
        <f>HotelSales[[#This Row],[Stay_Nights]]*HotelSales[[#This Row],[Room_Rate]]</f>
        <v>155000</v>
      </c>
      <c r="M407">
        <v>11500</v>
      </c>
      <c r="N407">
        <f>HotelSales[[#This Row],[Room_Revenue]]+HotelSales[[#This Row],[Restaurant_Spend]]</f>
        <v>166500</v>
      </c>
      <c r="O407" t="s">
        <v>784</v>
      </c>
    </row>
    <row r="408" spans="1:15">
      <c r="A408" t="s">
        <v>418</v>
      </c>
      <c r="B408" t="s">
        <v>606</v>
      </c>
      <c r="C408" s="2">
        <v>45934.978981481479</v>
      </c>
      <c r="D408" s="1">
        <v>45954.978981481479</v>
      </c>
      <c r="E408" s="1">
        <v>45960.978981481479</v>
      </c>
      <c r="F408">
        <f>HotelSales[[#This Row],[Check_Out]]-HotelSales[[#This Row],[Check_In]]</f>
        <v>6</v>
      </c>
      <c r="G408" t="s">
        <v>776</v>
      </c>
      <c r="H408" t="s">
        <v>778</v>
      </c>
      <c r="I408" t="s">
        <v>779</v>
      </c>
      <c r="J408">
        <v>2</v>
      </c>
      <c r="K408">
        <v>18000</v>
      </c>
      <c r="L408">
        <f>HotelSales[[#This Row],[Stay_Nights]]*HotelSales[[#This Row],[Room_Rate]]</f>
        <v>108000</v>
      </c>
      <c r="M408">
        <v>1500</v>
      </c>
      <c r="N408">
        <f>HotelSales[[#This Row],[Room_Revenue]]+HotelSales[[#This Row],[Restaurant_Spend]]</f>
        <v>109500</v>
      </c>
      <c r="O408" t="s">
        <v>786</v>
      </c>
    </row>
    <row r="409" spans="1:15">
      <c r="A409" t="s">
        <v>419</v>
      </c>
      <c r="B409" t="s">
        <v>622</v>
      </c>
      <c r="C409" s="2">
        <v>45935.254178240742</v>
      </c>
      <c r="D409" s="1">
        <v>45951.254178240742</v>
      </c>
      <c r="E409" s="1">
        <v>45958.254178240742</v>
      </c>
      <c r="F409">
        <f>HotelSales[[#This Row],[Check_Out]]-HotelSales[[#This Row],[Check_In]]</f>
        <v>7</v>
      </c>
      <c r="G409" t="s">
        <v>776</v>
      </c>
      <c r="H409" t="s">
        <v>778</v>
      </c>
      <c r="I409" t="s">
        <v>781</v>
      </c>
      <c r="J409">
        <v>1</v>
      </c>
      <c r="K409">
        <v>18000</v>
      </c>
      <c r="L409">
        <f>HotelSales[[#This Row],[Stay_Nights]]*HotelSales[[#This Row],[Room_Rate]]</f>
        <v>126000</v>
      </c>
      <c r="M409">
        <v>8000</v>
      </c>
      <c r="N409">
        <f>HotelSales[[#This Row],[Room_Revenue]]+HotelSales[[#This Row],[Restaurant_Spend]]</f>
        <v>134000</v>
      </c>
      <c r="O409" t="s">
        <v>787</v>
      </c>
    </row>
    <row r="410" spans="1:15">
      <c r="A410" t="s">
        <v>420</v>
      </c>
      <c r="B410" t="s">
        <v>689</v>
      </c>
      <c r="C410" s="2">
        <v>45936.275185185194</v>
      </c>
      <c r="D410" s="1">
        <v>45940.275185185194</v>
      </c>
      <c r="E410" s="1">
        <v>45945.275185185194</v>
      </c>
      <c r="F410">
        <f>HotelSales[[#This Row],[Check_Out]]-HotelSales[[#This Row],[Check_In]]</f>
        <v>5</v>
      </c>
      <c r="G410" t="s">
        <v>775</v>
      </c>
      <c r="H410" t="s">
        <v>777</v>
      </c>
      <c r="I410" t="s">
        <v>779</v>
      </c>
      <c r="J410">
        <v>2</v>
      </c>
      <c r="K410">
        <v>12000</v>
      </c>
      <c r="L410">
        <f>HotelSales[[#This Row],[Stay_Nights]]*HotelSales[[#This Row],[Room_Rate]]</f>
        <v>60000</v>
      </c>
      <c r="M410">
        <v>6000</v>
      </c>
      <c r="N410">
        <f>HotelSales[[#This Row],[Room_Revenue]]+HotelSales[[#This Row],[Restaurant_Spend]]</f>
        <v>66000</v>
      </c>
      <c r="O410" t="s">
        <v>787</v>
      </c>
    </row>
    <row r="411" spans="1:15">
      <c r="A411" t="s">
        <v>421</v>
      </c>
      <c r="B411" t="s">
        <v>597</v>
      </c>
      <c r="C411" s="2">
        <v>45936.850138888891</v>
      </c>
      <c r="D411" s="1">
        <v>45948.850138888891</v>
      </c>
      <c r="E411" s="1">
        <v>45950.850138888891</v>
      </c>
      <c r="F411">
        <f>HotelSales[[#This Row],[Check_Out]]-HotelSales[[#This Row],[Check_In]]</f>
        <v>2</v>
      </c>
      <c r="G411" t="s">
        <v>775</v>
      </c>
      <c r="H411" t="s">
        <v>778</v>
      </c>
      <c r="I411" t="s">
        <v>779</v>
      </c>
      <c r="J411">
        <v>2</v>
      </c>
      <c r="K411">
        <v>11000</v>
      </c>
      <c r="L411">
        <f>HotelSales[[#This Row],[Stay_Nights]]*HotelSales[[#This Row],[Room_Rate]]</f>
        <v>22000</v>
      </c>
      <c r="M411">
        <v>6000</v>
      </c>
      <c r="N411">
        <f>HotelSales[[#This Row],[Room_Revenue]]+HotelSales[[#This Row],[Restaurant_Spend]]</f>
        <v>28000</v>
      </c>
      <c r="O411" t="s">
        <v>786</v>
      </c>
    </row>
    <row r="412" spans="1:15">
      <c r="A412" t="s">
        <v>422</v>
      </c>
      <c r="B412" t="s">
        <v>748</v>
      </c>
      <c r="C412" s="2">
        <v>45936.977430555547</v>
      </c>
      <c r="D412" s="1">
        <v>45965.977430555547</v>
      </c>
      <c r="E412" s="1">
        <v>45970.977430555547</v>
      </c>
      <c r="F412">
        <f>HotelSales[[#This Row],[Check_Out]]-HotelSales[[#This Row],[Check_In]]</f>
        <v>5</v>
      </c>
      <c r="G412" t="s">
        <v>775</v>
      </c>
      <c r="H412" t="s">
        <v>777</v>
      </c>
      <c r="I412" t="s">
        <v>781</v>
      </c>
      <c r="J412">
        <v>2</v>
      </c>
      <c r="K412">
        <v>12000</v>
      </c>
      <c r="L412">
        <f>HotelSales[[#This Row],[Stay_Nights]]*HotelSales[[#This Row],[Room_Rate]]</f>
        <v>60000</v>
      </c>
      <c r="M412">
        <v>8000</v>
      </c>
      <c r="N412">
        <f>HotelSales[[#This Row],[Room_Revenue]]+HotelSales[[#This Row],[Restaurant_Spend]]</f>
        <v>68000</v>
      </c>
      <c r="O412" t="s">
        <v>784</v>
      </c>
    </row>
    <row r="413" spans="1:15">
      <c r="A413" t="s">
        <v>423</v>
      </c>
      <c r="B413" t="s">
        <v>670</v>
      </c>
      <c r="C413" s="2">
        <v>45937.242881944447</v>
      </c>
      <c r="D413" s="1">
        <v>45965.242881944447</v>
      </c>
      <c r="E413" s="1">
        <v>45969.242881944447</v>
      </c>
      <c r="F413">
        <f>HotelSales[[#This Row],[Check_Out]]-HotelSales[[#This Row],[Check_In]]</f>
        <v>4</v>
      </c>
      <c r="G413" t="s">
        <v>775</v>
      </c>
      <c r="H413" t="s">
        <v>778</v>
      </c>
      <c r="I413" t="s">
        <v>779</v>
      </c>
      <c r="J413">
        <v>1</v>
      </c>
      <c r="K413">
        <v>11000</v>
      </c>
      <c r="L413">
        <f>HotelSales[[#This Row],[Stay_Nights]]*HotelSales[[#This Row],[Room_Rate]]</f>
        <v>44000</v>
      </c>
      <c r="M413">
        <v>9500</v>
      </c>
      <c r="N413">
        <f>HotelSales[[#This Row],[Room_Revenue]]+HotelSales[[#This Row],[Restaurant_Spend]]</f>
        <v>53500</v>
      </c>
      <c r="O413" t="s">
        <v>786</v>
      </c>
    </row>
    <row r="414" spans="1:15">
      <c r="A414" t="s">
        <v>424</v>
      </c>
      <c r="B414" t="s">
        <v>544</v>
      </c>
      <c r="C414" s="2">
        <v>45937.655671296299</v>
      </c>
      <c r="D414" s="1">
        <v>45965.655671296299</v>
      </c>
      <c r="E414" s="1">
        <v>45967.655671296299</v>
      </c>
      <c r="F414">
        <f>HotelSales[[#This Row],[Check_Out]]-HotelSales[[#This Row],[Check_In]]</f>
        <v>2</v>
      </c>
      <c r="G414" t="s">
        <v>775</v>
      </c>
      <c r="H414" t="s">
        <v>777</v>
      </c>
      <c r="I414" t="s">
        <v>781</v>
      </c>
      <c r="J414">
        <v>4</v>
      </c>
      <c r="K414">
        <v>13000</v>
      </c>
      <c r="L414">
        <f>HotelSales[[#This Row],[Stay_Nights]]*HotelSales[[#This Row],[Room_Rate]]</f>
        <v>26000</v>
      </c>
      <c r="M414">
        <v>10500</v>
      </c>
      <c r="N414">
        <f>HotelSales[[#This Row],[Room_Revenue]]+HotelSales[[#This Row],[Restaurant_Spend]]</f>
        <v>36500</v>
      </c>
      <c r="O414" t="s">
        <v>783</v>
      </c>
    </row>
    <row r="415" spans="1:15">
      <c r="A415" t="s">
        <v>425</v>
      </c>
      <c r="B415" t="s">
        <v>537</v>
      </c>
      <c r="C415" s="2">
        <v>45938.604907407411</v>
      </c>
      <c r="D415" s="1">
        <v>45956.604907407411</v>
      </c>
      <c r="E415" s="1">
        <v>45960.604907407411</v>
      </c>
      <c r="F415">
        <f>HotelSales[[#This Row],[Check_Out]]-HotelSales[[#This Row],[Check_In]]</f>
        <v>4</v>
      </c>
      <c r="G415" t="s">
        <v>775</v>
      </c>
      <c r="H415" t="s">
        <v>778</v>
      </c>
      <c r="I415" t="s">
        <v>780</v>
      </c>
      <c r="J415">
        <v>2</v>
      </c>
      <c r="K415">
        <v>13000</v>
      </c>
      <c r="L415">
        <f>HotelSales[[#This Row],[Stay_Nights]]*HotelSales[[#This Row],[Room_Rate]]</f>
        <v>52000</v>
      </c>
      <c r="M415">
        <v>5000</v>
      </c>
      <c r="N415">
        <f>HotelSales[[#This Row],[Room_Revenue]]+HotelSales[[#This Row],[Restaurant_Spend]]</f>
        <v>57000</v>
      </c>
      <c r="O415" t="s">
        <v>785</v>
      </c>
    </row>
    <row r="416" spans="1:15">
      <c r="A416" t="s">
        <v>426</v>
      </c>
      <c r="B416" t="s">
        <v>544</v>
      </c>
      <c r="C416" s="2">
        <v>45939.192731481482</v>
      </c>
      <c r="D416" s="1">
        <v>45949.192731481482</v>
      </c>
      <c r="E416" s="1">
        <v>45951.192731481482</v>
      </c>
      <c r="F416">
        <f>HotelSales[[#This Row],[Check_Out]]-HotelSales[[#This Row],[Check_In]]</f>
        <v>2</v>
      </c>
      <c r="G416" t="s">
        <v>776</v>
      </c>
      <c r="H416" t="s">
        <v>778</v>
      </c>
      <c r="I416" t="s">
        <v>780</v>
      </c>
      <c r="J416">
        <v>2</v>
      </c>
      <c r="K416">
        <v>19000</v>
      </c>
      <c r="L416">
        <f>HotelSales[[#This Row],[Stay_Nights]]*HotelSales[[#This Row],[Room_Rate]]</f>
        <v>38000</v>
      </c>
      <c r="M416">
        <v>4500</v>
      </c>
      <c r="N416">
        <f>HotelSales[[#This Row],[Room_Revenue]]+HotelSales[[#This Row],[Restaurant_Spend]]</f>
        <v>42500</v>
      </c>
      <c r="O416" t="s">
        <v>785</v>
      </c>
    </row>
    <row r="417" spans="1:15">
      <c r="A417" t="s">
        <v>427</v>
      </c>
      <c r="B417" t="s">
        <v>749</v>
      </c>
      <c r="C417" s="2">
        <v>45942.402199074073</v>
      </c>
      <c r="D417" s="1">
        <v>45959.402199074073</v>
      </c>
      <c r="E417" s="1">
        <v>45960.402199074073</v>
      </c>
      <c r="F417">
        <f>HotelSales[[#This Row],[Check_Out]]-HotelSales[[#This Row],[Check_In]]</f>
        <v>1</v>
      </c>
      <c r="G417" t="s">
        <v>776</v>
      </c>
      <c r="H417" t="s">
        <v>778</v>
      </c>
      <c r="I417" t="s">
        <v>779</v>
      </c>
      <c r="J417">
        <v>2</v>
      </c>
      <c r="K417">
        <v>19000</v>
      </c>
      <c r="L417">
        <f>HotelSales[[#This Row],[Stay_Nights]]*HotelSales[[#This Row],[Room_Rate]]</f>
        <v>19000</v>
      </c>
      <c r="M417">
        <v>500</v>
      </c>
      <c r="N417">
        <f>HotelSales[[#This Row],[Room_Revenue]]+HotelSales[[#This Row],[Restaurant_Spend]]</f>
        <v>19500</v>
      </c>
      <c r="O417" t="s">
        <v>787</v>
      </c>
    </row>
    <row r="418" spans="1:15">
      <c r="A418" t="s">
        <v>428</v>
      </c>
      <c r="B418" t="s">
        <v>705</v>
      </c>
      <c r="C418" s="2">
        <v>45944.661527777767</v>
      </c>
      <c r="D418" s="1">
        <v>45973.661527777767</v>
      </c>
      <c r="E418" s="1">
        <v>45974.661527777767</v>
      </c>
      <c r="F418">
        <f>HotelSales[[#This Row],[Check_Out]]-HotelSales[[#This Row],[Check_In]]</f>
        <v>1</v>
      </c>
      <c r="G418" t="s">
        <v>775</v>
      </c>
      <c r="H418" t="s">
        <v>778</v>
      </c>
      <c r="I418" t="s">
        <v>780</v>
      </c>
      <c r="J418">
        <v>1</v>
      </c>
      <c r="K418">
        <v>12000</v>
      </c>
      <c r="L418">
        <f>HotelSales[[#This Row],[Stay_Nights]]*HotelSales[[#This Row],[Room_Rate]]</f>
        <v>12000</v>
      </c>
      <c r="M418">
        <v>4500</v>
      </c>
      <c r="N418">
        <f>HotelSales[[#This Row],[Room_Revenue]]+HotelSales[[#This Row],[Restaurant_Spend]]</f>
        <v>16500</v>
      </c>
      <c r="O418" t="s">
        <v>786</v>
      </c>
    </row>
    <row r="419" spans="1:15">
      <c r="A419" t="s">
        <v>429</v>
      </c>
      <c r="B419" t="s">
        <v>620</v>
      </c>
      <c r="C419" s="2">
        <v>45944.8590625</v>
      </c>
      <c r="D419" s="1">
        <v>45945.8590625</v>
      </c>
      <c r="E419" s="1">
        <v>45949.8590625</v>
      </c>
      <c r="F419">
        <f>HotelSales[[#This Row],[Check_Out]]-HotelSales[[#This Row],[Check_In]]</f>
        <v>4</v>
      </c>
      <c r="G419" t="s">
        <v>775</v>
      </c>
      <c r="H419" t="s">
        <v>777</v>
      </c>
      <c r="I419" t="s">
        <v>780</v>
      </c>
      <c r="J419">
        <v>2</v>
      </c>
      <c r="K419">
        <v>13000</v>
      </c>
      <c r="L419">
        <f>HotelSales[[#This Row],[Stay_Nights]]*HotelSales[[#This Row],[Room_Rate]]</f>
        <v>52000</v>
      </c>
      <c r="M419">
        <v>12500</v>
      </c>
      <c r="N419">
        <f>HotelSales[[#This Row],[Room_Revenue]]+HotelSales[[#This Row],[Restaurant_Spend]]</f>
        <v>64500</v>
      </c>
      <c r="O419" t="s">
        <v>786</v>
      </c>
    </row>
    <row r="420" spans="1:15">
      <c r="A420" t="s">
        <v>430</v>
      </c>
      <c r="B420" t="s">
        <v>590</v>
      </c>
      <c r="C420" s="2">
        <v>45949.275787037041</v>
      </c>
      <c r="D420" s="1">
        <v>45963.275787037041</v>
      </c>
      <c r="E420" s="1">
        <v>45966.275787037041</v>
      </c>
      <c r="F420">
        <f>HotelSales[[#This Row],[Check_Out]]-HotelSales[[#This Row],[Check_In]]</f>
        <v>3</v>
      </c>
      <c r="G420" t="s">
        <v>775</v>
      </c>
      <c r="H420" t="s">
        <v>778</v>
      </c>
      <c r="I420" t="s">
        <v>781</v>
      </c>
      <c r="J420">
        <v>2</v>
      </c>
      <c r="K420">
        <v>13000</v>
      </c>
      <c r="L420">
        <f>HotelSales[[#This Row],[Stay_Nights]]*HotelSales[[#This Row],[Room_Rate]]</f>
        <v>39000</v>
      </c>
      <c r="M420">
        <v>9500</v>
      </c>
      <c r="N420">
        <f>HotelSales[[#This Row],[Room_Revenue]]+HotelSales[[#This Row],[Restaurant_Spend]]</f>
        <v>48500</v>
      </c>
      <c r="O420" t="s">
        <v>782</v>
      </c>
    </row>
    <row r="421" spans="1:15">
      <c r="A421" t="s">
        <v>431</v>
      </c>
      <c r="B421" t="s">
        <v>718</v>
      </c>
      <c r="C421" s="2">
        <v>45949.591851851852</v>
      </c>
      <c r="D421" s="1">
        <v>45951.591851851852</v>
      </c>
      <c r="E421" s="1">
        <v>45953.591851851852</v>
      </c>
      <c r="F421">
        <f>HotelSales[[#This Row],[Check_Out]]-HotelSales[[#This Row],[Check_In]]</f>
        <v>2</v>
      </c>
      <c r="G421" t="s">
        <v>775</v>
      </c>
      <c r="H421" t="s">
        <v>778</v>
      </c>
      <c r="I421" t="s">
        <v>779</v>
      </c>
      <c r="J421">
        <v>2</v>
      </c>
      <c r="K421">
        <v>12000</v>
      </c>
      <c r="L421">
        <f>HotelSales[[#This Row],[Stay_Nights]]*HotelSales[[#This Row],[Room_Rate]]</f>
        <v>24000</v>
      </c>
      <c r="M421">
        <v>500</v>
      </c>
      <c r="N421">
        <f>HotelSales[[#This Row],[Room_Revenue]]+HotelSales[[#This Row],[Restaurant_Spend]]</f>
        <v>24500</v>
      </c>
      <c r="O421" t="s">
        <v>784</v>
      </c>
    </row>
    <row r="422" spans="1:15">
      <c r="A422" t="s">
        <v>432</v>
      </c>
      <c r="B422" t="s">
        <v>569</v>
      </c>
      <c r="C422" s="2">
        <v>45949.879074074073</v>
      </c>
      <c r="D422" s="1">
        <v>45951.879074074073</v>
      </c>
      <c r="E422" s="1">
        <v>45956.879074074073</v>
      </c>
      <c r="F422">
        <f>HotelSales[[#This Row],[Check_Out]]-HotelSales[[#This Row],[Check_In]]</f>
        <v>5</v>
      </c>
      <c r="G422" t="s">
        <v>775</v>
      </c>
      <c r="H422" t="s">
        <v>777</v>
      </c>
      <c r="I422" t="s">
        <v>780</v>
      </c>
      <c r="J422">
        <v>4</v>
      </c>
      <c r="K422">
        <v>13000</v>
      </c>
      <c r="L422">
        <f>HotelSales[[#This Row],[Stay_Nights]]*HotelSales[[#This Row],[Room_Rate]]</f>
        <v>65000</v>
      </c>
      <c r="M422">
        <v>1000</v>
      </c>
      <c r="N422">
        <f>HotelSales[[#This Row],[Room_Revenue]]+HotelSales[[#This Row],[Restaurant_Spend]]</f>
        <v>66000</v>
      </c>
      <c r="O422" t="s">
        <v>786</v>
      </c>
    </row>
    <row r="423" spans="1:15">
      <c r="A423" t="s">
        <v>433</v>
      </c>
      <c r="B423" t="s">
        <v>628</v>
      </c>
      <c r="C423" s="2">
        <v>45950.687800925924</v>
      </c>
      <c r="D423" s="1">
        <v>45965.687800925924</v>
      </c>
      <c r="E423" s="1">
        <v>45967.687800925924</v>
      </c>
      <c r="F423">
        <f>HotelSales[[#This Row],[Check_Out]]-HotelSales[[#This Row],[Check_In]]</f>
        <v>2</v>
      </c>
      <c r="G423" t="s">
        <v>776</v>
      </c>
      <c r="H423" t="s">
        <v>778</v>
      </c>
      <c r="I423" t="s">
        <v>779</v>
      </c>
      <c r="J423">
        <v>3</v>
      </c>
      <c r="K423">
        <v>19000</v>
      </c>
      <c r="L423">
        <f>HotelSales[[#This Row],[Stay_Nights]]*HotelSales[[#This Row],[Room_Rate]]</f>
        <v>38000</v>
      </c>
      <c r="M423">
        <v>10500</v>
      </c>
      <c r="N423">
        <f>HotelSales[[#This Row],[Room_Revenue]]+HotelSales[[#This Row],[Restaurant_Spend]]</f>
        <v>48500</v>
      </c>
      <c r="O423" t="s">
        <v>785</v>
      </c>
    </row>
    <row r="424" spans="1:15">
      <c r="A424" t="s">
        <v>434</v>
      </c>
      <c r="B424" t="s">
        <v>563</v>
      </c>
      <c r="C424" s="2">
        <v>45950.836273148147</v>
      </c>
      <c r="D424" s="1">
        <v>45963.836273148147</v>
      </c>
      <c r="E424" s="1">
        <v>45968.836273148147</v>
      </c>
      <c r="F424">
        <f>HotelSales[[#This Row],[Check_Out]]-HotelSales[[#This Row],[Check_In]]</f>
        <v>5</v>
      </c>
      <c r="G424" t="s">
        <v>774</v>
      </c>
      <c r="H424" t="s">
        <v>778</v>
      </c>
      <c r="I424" t="s">
        <v>781</v>
      </c>
      <c r="J424">
        <v>2</v>
      </c>
      <c r="K424">
        <v>29000</v>
      </c>
      <c r="L424">
        <f>HotelSales[[#This Row],[Stay_Nights]]*HotelSales[[#This Row],[Room_Rate]]</f>
        <v>145000</v>
      </c>
      <c r="M424">
        <v>3000</v>
      </c>
      <c r="N424">
        <f>HotelSales[[#This Row],[Room_Revenue]]+HotelSales[[#This Row],[Restaurant_Spend]]</f>
        <v>148000</v>
      </c>
      <c r="O424" t="s">
        <v>784</v>
      </c>
    </row>
    <row r="425" spans="1:15">
      <c r="A425" t="s">
        <v>435</v>
      </c>
      <c r="B425" t="s">
        <v>750</v>
      </c>
      <c r="C425" s="2">
        <v>45951.160844907397</v>
      </c>
      <c r="D425" s="1">
        <v>45980.160844907397</v>
      </c>
      <c r="E425" s="1">
        <v>45983.160844907397</v>
      </c>
      <c r="F425">
        <f>HotelSales[[#This Row],[Check_Out]]-HotelSales[[#This Row],[Check_In]]</f>
        <v>3</v>
      </c>
      <c r="G425" t="s">
        <v>776</v>
      </c>
      <c r="H425" t="s">
        <v>778</v>
      </c>
      <c r="I425" t="s">
        <v>781</v>
      </c>
      <c r="J425">
        <v>2</v>
      </c>
      <c r="K425">
        <v>17000</v>
      </c>
      <c r="L425">
        <f>HotelSales[[#This Row],[Stay_Nights]]*HotelSales[[#This Row],[Room_Rate]]</f>
        <v>51000</v>
      </c>
      <c r="M425">
        <v>3500</v>
      </c>
      <c r="N425">
        <f>HotelSales[[#This Row],[Room_Revenue]]+HotelSales[[#This Row],[Restaurant_Spend]]</f>
        <v>54500</v>
      </c>
      <c r="O425" t="s">
        <v>785</v>
      </c>
    </row>
    <row r="426" spans="1:15">
      <c r="A426" t="s">
        <v>436</v>
      </c>
      <c r="B426" t="s">
        <v>751</v>
      </c>
      <c r="C426" s="2">
        <v>45952.174756944441</v>
      </c>
      <c r="D426" s="1">
        <v>45968.174756944441</v>
      </c>
      <c r="E426" s="1">
        <v>45971.174756944441</v>
      </c>
      <c r="F426">
        <f>HotelSales[[#This Row],[Check_Out]]-HotelSales[[#This Row],[Check_In]]</f>
        <v>3</v>
      </c>
      <c r="G426" t="s">
        <v>774</v>
      </c>
      <c r="H426" t="s">
        <v>778</v>
      </c>
      <c r="I426" t="s">
        <v>781</v>
      </c>
      <c r="J426">
        <v>3</v>
      </c>
      <c r="K426">
        <v>30000</v>
      </c>
      <c r="L426">
        <f>HotelSales[[#This Row],[Stay_Nights]]*HotelSales[[#This Row],[Room_Rate]]</f>
        <v>90000</v>
      </c>
      <c r="M426">
        <v>6500</v>
      </c>
      <c r="N426">
        <f>HotelSales[[#This Row],[Room_Revenue]]+HotelSales[[#This Row],[Restaurant_Spend]]</f>
        <v>96500</v>
      </c>
      <c r="O426" t="s">
        <v>786</v>
      </c>
    </row>
    <row r="427" spans="1:15">
      <c r="A427" t="s">
        <v>437</v>
      </c>
      <c r="B427" t="s">
        <v>752</v>
      </c>
      <c r="C427" s="2">
        <v>45953.837546296287</v>
      </c>
      <c r="D427" s="1">
        <v>45969.837546296287</v>
      </c>
      <c r="E427" s="1">
        <v>45972.837546296287</v>
      </c>
      <c r="F427">
        <f>HotelSales[[#This Row],[Check_Out]]-HotelSales[[#This Row],[Check_In]]</f>
        <v>3</v>
      </c>
      <c r="G427" t="s">
        <v>776</v>
      </c>
      <c r="H427" t="s">
        <v>778</v>
      </c>
      <c r="I427" t="s">
        <v>779</v>
      </c>
      <c r="J427">
        <v>4</v>
      </c>
      <c r="K427">
        <v>17000</v>
      </c>
      <c r="L427">
        <f>HotelSales[[#This Row],[Stay_Nights]]*HotelSales[[#This Row],[Room_Rate]]</f>
        <v>51000</v>
      </c>
      <c r="M427">
        <v>4000</v>
      </c>
      <c r="N427">
        <f>HotelSales[[#This Row],[Room_Revenue]]+HotelSales[[#This Row],[Restaurant_Spend]]</f>
        <v>55000</v>
      </c>
      <c r="O427" t="s">
        <v>786</v>
      </c>
    </row>
    <row r="428" spans="1:15">
      <c r="A428" t="s">
        <v>438</v>
      </c>
      <c r="B428" t="s">
        <v>520</v>
      </c>
      <c r="C428" s="2">
        <v>45954.196145833332</v>
      </c>
      <c r="D428" s="1">
        <v>45971.196145833332</v>
      </c>
      <c r="E428" s="1">
        <v>45977.196145833332</v>
      </c>
      <c r="F428">
        <f>HotelSales[[#This Row],[Check_Out]]-HotelSales[[#This Row],[Check_In]]</f>
        <v>6</v>
      </c>
      <c r="G428" t="s">
        <v>776</v>
      </c>
      <c r="H428" t="s">
        <v>777</v>
      </c>
      <c r="I428" t="s">
        <v>780</v>
      </c>
      <c r="J428">
        <v>1</v>
      </c>
      <c r="K428">
        <v>19000</v>
      </c>
      <c r="L428">
        <f>HotelSales[[#This Row],[Stay_Nights]]*HotelSales[[#This Row],[Room_Rate]]</f>
        <v>114000</v>
      </c>
      <c r="M428">
        <v>9500</v>
      </c>
      <c r="N428">
        <f>HotelSales[[#This Row],[Room_Revenue]]+HotelSales[[#This Row],[Restaurant_Spend]]</f>
        <v>123500</v>
      </c>
      <c r="O428" t="s">
        <v>782</v>
      </c>
    </row>
    <row r="429" spans="1:15">
      <c r="A429" t="s">
        <v>439</v>
      </c>
      <c r="B429" t="s">
        <v>679</v>
      </c>
      <c r="C429" s="2">
        <v>45955.152511574073</v>
      </c>
      <c r="D429" s="1">
        <v>45972.152511574073</v>
      </c>
      <c r="E429" s="1">
        <v>45977.152511574073</v>
      </c>
      <c r="F429">
        <f>HotelSales[[#This Row],[Check_Out]]-HotelSales[[#This Row],[Check_In]]</f>
        <v>5</v>
      </c>
      <c r="G429" t="s">
        <v>775</v>
      </c>
      <c r="H429" t="s">
        <v>778</v>
      </c>
      <c r="I429" t="s">
        <v>779</v>
      </c>
      <c r="J429">
        <v>2</v>
      </c>
      <c r="K429">
        <v>12000</v>
      </c>
      <c r="L429">
        <f>HotelSales[[#This Row],[Stay_Nights]]*HotelSales[[#This Row],[Room_Rate]]</f>
        <v>60000</v>
      </c>
      <c r="M429">
        <v>3500</v>
      </c>
      <c r="N429">
        <f>HotelSales[[#This Row],[Room_Revenue]]+HotelSales[[#This Row],[Restaurant_Spend]]</f>
        <v>63500</v>
      </c>
      <c r="O429" t="s">
        <v>784</v>
      </c>
    </row>
    <row r="430" spans="1:15">
      <c r="A430" t="s">
        <v>440</v>
      </c>
      <c r="B430" t="s">
        <v>753</v>
      </c>
      <c r="C430" s="2">
        <v>45955.258530092593</v>
      </c>
      <c r="D430" s="1">
        <v>45982.258530092593</v>
      </c>
      <c r="E430" s="1">
        <v>45983.258530092593</v>
      </c>
      <c r="F430">
        <f>HotelSales[[#This Row],[Check_Out]]-HotelSales[[#This Row],[Check_In]]</f>
        <v>1</v>
      </c>
      <c r="G430" t="s">
        <v>775</v>
      </c>
      <c r="H430" t="s">
        <v>777</v>
      </c>
      <c r="I430" t="s">
        <v>779</v>
      </c>
      <c r="J430">
        <v>4</v>
      </c>
      <c r="K430">
        <v>11000</v>
      </c>
      <c r="L430">
        <f>HotelSales[[#This Row],[Stay_Nights]]*HotelSales[[#This Row],[Room_Rate]]</f>
        <v>11000</v>
      </c>
      <c r="M430">
        <v>7500</v>
      </c>
      <c r="N430">
        <f>HotelSales[[#This Row],[Room_Revenue]]+HotelSales[[#This Row],[Restaurant_Spend]]</f>
        <v>18500</v>
      </c>
      <c r="O430" t="s">
        <v>786</v>
      </c>
    </row>
    <row r="431" spans="1:15">
      <c r="A431" t="s">
        <v>441</v>
      </c>
      <c r="B431" t="s">
        <v>610</v>
      </c>
      <c r="C431" s="2">
        <v>45955.357106481482</v>
      </c>
      <c r="D431" s="1">
        <v>45957.357106481482</v>
      </c>
      <c r="E431" s="1">
        <v>45962.357106481482</v>
      </c>
      <c r="F431">
        <f>HotelSales[[#This Row],[Check_Out]]-HotelSales[[#This Row],[Check_In]]</f>
        <v>5</v>
      </c>
      <c r="G431" t="s">
        <v>775</v>
      </c>
      <c r="H431" t="s">
        <v>778</v>
      </c>
      <c r="I431" t="s">
        <v>779</v>
      </c>
      <c r="J431">
        <v>4</v>
      </c>
      <c r="K431">
        <v>13000</v>
      </c>
      <c r="L431">
        <f>HotelSales[[#This Row],[Stay_Nights]]*HotelSales[[#This Row],[Room_Rate]]</f>
        <v>65000</v>
      </c>
      <c r="M431">
        <v>3500</v>
      </c>
      <c r="N431">
        <f>HotelSales[[#This Row],[Room_Revenue]]+HotelSales[[#This Row],[Restaurant_Spend]]</f>
        <v>68500</v>
      </c>
      <c r="O431" t="s">
        <v>784</v>
      </c>
    </row>
    <row r="432" spans="1:15">
      <c r="A432" t="s">
        <v>442</v>
      </c>
      <c r="B432" t="s">
        <v>616</v>
      </c>
      <c r="C432" s="2">
        <v>45956.54959490741</v>
      </c>
      <c r="D432" s="1">
        <v>45967.54959490741</v>
      </c>
      <c r="E432" s="1">
        <v>45972.54959490741</v>
      </c>
      <c r="F432">
        <f>HotelSales[[#This Row],[Check_Out]]-HotelSales[[#This Row],[Check_In]]</f>
        <v>5</v>
      </c>
      <c r="G432" t="s">
        <v>775</v>
      </c>
      <c r="H432" t="s">
        <v>778</v>
      </c>
      <c r="I432" t="s">
        <v>780</v>
      </c>
      <c r="J432">
        <v>2</v>
      </c>
      <c r="K432">
        <v>11000</v>
      </c>
      <c r="L432">
        <f>HotelSales[[#This Row],[Stay_Nights]]*HotelSales[[#This Row],[Room_Rate]]</f>
        <v>55000</v>
      </c>
      <c r="M432">
        <v>4000</v>
      </c>
      <c r="N432">
        <f>HotelSales[[#This Row],[Room_Revenue]]+HotelSales[[#This Row],[Restaurant_Spend]]</f>
        <v>59000</v>
      </c>
      <c r="O432" t="s">
        <v>786</v>
      </c>
    </row>
    <row r="433" spans="1:15">
      <c r="A433" t="s">
        <v>443</v>
      </c>
      <c r="B433" t="s">
        <v>754</v>
      </c>
      <c r="C433" s="2">
        <v>45956.7965625</v>
      </c>
      <c r="D433" s="1">
        <v>45977.7965625</v>
      </c>
      <c r="E433" s="1">
        <v>45980.7965625</v>
      </c>
      <c r="F433">
        <f>HotelSales[[#This Row],[Check_Out]]-HotelSales[[#This Row],[Check_In]]</f>
        <v>3</v>
      </c>
      <c r="G433" t="s">
        <v>776</v>
      </c>
      <c r="H433" t="s">
        <v>778</v>
      </c>
      <c r="I433" t="s">
        <v>780</v>
      </c>
      <c r="J433">
        <v>2</v>
      </c>
      <c r="K433">
        <v>19000</v>
      </c>
      <c r="L433">
        <f>HotelSales[[#This Row],[Stay_Nights]]*HotelSales[[#This Row],[Room_Rate]]</f>
        <v>57000</v>
      </c>
      <c r="M433">
        <v>8000</v>
      </c>
      <c r="N433">
        <f>HotelSales[[#This Row],[Room_Revenue]]+HotelSales[[#This Row],[Restaurant_Spend]]</f>
        <v>65000</v>
      </c>
      <c r="O433" t="s">
        <v>782</v>
      </c>
    </row>
    <row r="434" spans="1:15">
      <c r="A434" t="s">
        <v>444</v>
      </c>
      <c r="B434" t="s">
        <v>569</v>
      </c>
      <c r="C434" s="2">
        <v>45956.928680555553</v>
      </c>
      <c r="D434" s="1">
        <v>45965.928680555553</v>
      </c>
      <c r="E434" s="1">
        <v>45971.928680555553</v>
      </c>
      <c r="F434">
        <f>HotelSales[[#This Row],[Check_Out]]-HotelSales[[#This Row],[Check_In]]</f>
        <v>6</v>
      </c>
      <c r="G434" t="s">
        <v>775</v>
      </c>
      <c r="H434" t="s">
        <v>777</v>
      </c>
      <c r="I434" t="s">
        <v>781</v>
      </c>
      <c r="J434">
        <v>2</v>
      </c>
      <c r="K434">
        <v>12000</v>
      </c>
      <c r="L434">
        <f>HotelSales[[#This Row],[Stay_Nights]]*HotelSales[[#This Row],[Room_Rate]]</f>
        <v>72000</v>
      </c>
      <c r="M434">
        <v>6500</v>
      </c>
      <c r="N434">
        <f>HotelSales[[#This Row],[Room_Revenue]]+HotelSales[[#This Row],[Restaurant_Spend]]</f>
        <v>78500</v>
      </c>
      <c r="O434" t="s">
        <v>784</v>
      </c>
    </row>
    <row r="435" spans="1:15">
      <c r="A435" t="s">
        <v>445</v>
      </c>
      <c r="B435" t="s">
        <v>755</v>
      </c>
      <c r="C435" s="2">
        <v>45956.990983796299</v>
      </c>
      <c r="D435" s="1">
        <v>45973.990983796299</v>
      </c>
      <c r="E435" s="1">
        <v>45976.990983796299</v>
      </c>
      <c r="F435">
        <f>HotelSales[[#This Row],[Check_Out]]-HotelSales[[#This Row],[Check_In]]</f>
        <v>3</v>
      </c>
      <c r="G435" t="s">
        <v>776</v>
      </c>
      <c r="H435" t="s">
        <v>778</v>
      </c>
      <c r="I435" t="s">
        <v>780</v>
      </c>
      <c r="J435">
        <v>4</v>
      </c>
      <c r="K435">
        <v>19000</v>
      </c>
      <c r="L435">
        <f>HotelSales[[#This Row],[Stay_Nights]]*HotelSales[[#This Row],[Room_Rate]]</f>
        <v>57000</v>
      </c>
      <c r="M435">
        <v>8500</v>
      </c>
      <c r="N435">
        <f>HotelSales[[#This Row],[Room_Revenue]]+HotelSales[[#This Row],[Restaurant_Spend]]</f>
        <v>65500</v>
      </c>
      <c r="O435" t="s">
        <v>785</v>
      </c>
    </row>
    <row r="436" spans="1:15">
      <c r="A436" t="s">
        <v>446</v>
      </c>
      <c r="B436" t="s">
        <v>756</v>
      </c>
      <c r="C436" s="2">
        <v>45957.269895833328</v>
      </c>
      <c r="D436" s="1">
        <v>45983.269895833328</v>
      </c>
      <c r="E436" s="1">
        <v>45988.269895833328</v>
      </c>
      <c r="F436">
        <f>HotelSales[[#This Row],[Check_Out]]-HotelSales[[#This Row],[Check_In]]</f>
        <v>5</v>
      </c>
      <c r="G436" t="s">
        <v>776</v>
      </c>
      <c r="H436" t="s">
        <v>777</v>
      </c>
      <c r="I436" t="s">
        <v>780</v>
      </c>
      <c r="J436">
        <v>4</v>
      </c>
      <c r="K436">
        <v>17000</v>
      </c>
      <c r="L436">
        <f>HotelSales[[#This Row],[Stay_Nights]]*HotelSales[[#This Row],[Room_Rate]]</f>
        <v>85000</v>
      </c>
      <c r="M436">
        <v>7000</v>
      </c>
      <c r="N436">
        <f>HotelSales[[#This Row],[Room_Revenue]]+HotelSales[[#This Row],[Restaurant_Spend]]</f>
        <v>92000</v>
      </c>
      <c r="O436" t="s">
        <v>783</v>
      </c>
    </row>
    <row r="437" spans="1:15">
      <c r="A437" t="s">
        <v>447</v>
      </c>
      <c r="B437" t="s">
        <v>680</v>
      </c>
      <c r="C437" s="2">
        <v>45957.583796296298</v>
      </c>
      <c r="D437" s="1">
        <v>45965.583796296298</v>
      </c>
      <c r="E437" s="1">
        <v>45970.583796296298</v>
      </c>
      <c r="F437">
        <f>HotelSales[[#This Row],[Check_Out]]-HotelSales[[#This Row],[Check_In]]</f>
        <v>5</v>
      </c>
      <c r="G437" t="s">
        <v>775</v>
      </c>
      <c r="H437" t="s">
        <v>778</v>
      </c>
      <c r="I437" t="s">
        <v>780</v>
      </c>
      <c r="J437">
        <v>1</v>
      </c>
      <c r="K437">
        <v>13000</v>
      </c>
      <c r="L437">
        <f>HotelSales[[#This Row],[Stay_Nights]]*HotelSales[[#This Row],[Room_Rate]]</f>
        <v>65000</v>
      </c>
      <c r="M437">
        <v>5000</v>
      </c>
      <c r="N437">
        <f>HotelSales[[#This Row],[Room_Revenue]]+HotelSales[[#This Row],[Restaurant_Spend]]</f>
        <v>70000</v>
      </c>
      <c r="O437" t="s">
        <v>782</v>
      </c>
    </row>
    <row r="438" spans="1:15">
      <c r="A438" t="s">
        <v>448</v>
      </c>
      <c r="B438" t="s">
        <v>625</v>
      </c>
      <c r="C438" s="2">
        <v>45959.850185185183</v>
      </c>
      <c r="D438" s="1">
        <v>45967.850185185183</v>
      </c>
      <c r="E438" s="1">
        <v>45969.850185185183</v>
      </c>
      <c r="F438">
        <f>HotelSales[[#This Row],[Check_Out]]-HotelSales[[#This Row],[Check_In]]</f>
        <v>2</v>
      </c>
      <c r="G438" t="s">
        <v>776</v>
      </c>
      <c r="H438" t="s">
        <v>778</v>
      </c>
      <c r="I438" t="s">
        <v>781</v>
      </c>
      <c r="J438">
        <v>2</v>
      </c>
      <c r="K438">
        <v>18000</v>
      </c>
      <c r="L438">
        <f>HotelSales[[#This Row],[Stay_Nights]]*HotelSales[[#This Row],[Room_Rate]]</f>
        <v>36000</v>
      </c>
      <c r="M438">
        <v>3500</v>
      </c>
      <c r="N438">
        <f>HotelSales[[#This Row],[Room_Revenue]]+HotelSales[[#This Row],[Restaurant_Spend]]</f>
        <v>39500</v>
      </c>
      <c r="O438" t="s">
        <v>785</v>
      </c>
    </row>
    <row r="439" spans="1:15">
      <c r="A439" t="s">
        <v>449</v>
      </c>
      <c r="B439" t="s">
        <v>708</v>
      </c>
      <c r="C439" s="2">
        <v>45962.730925925927</v>
      </c>
      <c r="D439" s="1">
        <v>45967.730925925927</v>
      </c>
      <c r="E439" s="1">
        <v>45969.730925925927</v>
      </c>
      <c r="F439">
        <f>HotelSales[[#This Row],[Check_Out]]-HotelSales[[#This Row],[Check_In]]</f>
        <v>2</v>
      </c>
      <c r="G439" t="s">
        <v>776</v>
      </c>
      <c r="H439" t="s">
        <v>778</v>
      </c>
      <c r="I439" t="s">
        <v>780</v>
      </c>
      <c r="J439">
        <v>4</v>
      </c>
      <c r="K439">
        <v>17000</v>
      </c>
      <c r="L439">
        <f>HotelSales[[#This Row],[Stay_Nights]]*HotelSales[[#This Row],[Room_Rate]]</f>
        <v>34000</v>
      </c>
      <c r="M439">
        <v>7000</v>
      </c>
      <c r="N439">
        <f>HotelSales[[#This Row],[Room_Revenue]]+HotelSales[[#This Row],[Restaurant_Spend]]</f>
        <v>41000</v>
      </c>
      <c r="O439" t="s">
        <v>786</v>
      </c>
    </row>
    <row r="440" spans="1:15">
      <c r="A440" t="s">
        <v>450</v>
      </c>
      <c r="B440" t="s">
        <v>745</v>
      </c>
      <c r="C440" s="2">
        <v>45963.467951388891</v>
      </c>
      <c r="D440" s="1">
        <v>45976.467951388891</v>
      </c>
      <c r="E440" s="1">
        <v>45979.467951388891</v>
      </c>
      <c r="F440">
        <f>HotelSales[[#This Row],[Check_Out]]-HotelSales[[#This Row],[Check_In]]</f>
        <v>3</v>
      </c>
      <c r="G440" t="s">
        <v>775</v>
      </c>
      <c r="H440" t="s">
        <v>778</v>
      </c>
      <c r="I440" t="s">
        <v>779</v>
      </c>
      <c r="J440">
        <v>2</v>
      </c>
      <c r="K440">
        <v>12000</v>
      </c>
      <c r="L440">
        <f>HotelSales[[#This Row],[Stay_Nights]]*HotelSales[[#This Row],[Room_Rate]]</f>
        <v>36000</v>
      </c>
      <c r="M440">
        <v>7500</v>
      </c>
      <c r="N440">
        <f>HotelSales[[#This Row],[Room_Revenue]]+HotelSales[[#This Row],[Restaurant_Spend]]</f>
        <v>43500</v>
      </c>
      <c r="O440" t="s">
        <v>786</v>
      </c>
    </row>
    <row r="441" spans="1:15">
      <c r="A441" t="s">
        <v>451</v>
      </c>
      <c r="B441" t="s">
        <v>573</v>
      </c>
      <c r="C441" s="2">
        <v>45963.912777777783</v>
      </c>
      <c r="D441" s="1">
        <v>45974.912777777783</v>
      </c>
      <c r="E441" s="1">
        <v>45976.912777777783</v>
      </c>
      <c r="F441">
        <f>HotelSales[[#This Row],[Check_Out]]-HotelSales[[#This Row],[Check_In]]</f>
        <v>2</v>
      </c>
      <c r="G441" t="s">
        <v>776</v>
      </c>
      <c r="H441" t="s">
        <v>778</v>
      </c>
      <c r="I441" t="s">
        <v>781</v>
      </c>
      <c r="J441">
        <v>3</v>
      </c>
      <c r="K441">
        <v>17000</v>
      </c>
      <c r="L441">
        <f>HotelSales[[#This Row],[Stay_Nights]]*HotelSales[[#This Row],[Room_Rate]]</f>
        <v>34000</v>
      </c>
      <c r="M441">
        <v>5500</v>
      </c>
      <c r="N441">
        <f>HotelSales[[#This Row],[Room_Revenue]]+HotelSales[[#This Row],[Restaurant_Spend]]</f>
        <v>39500</v>
      </c>
      <c r="O441" t="s">
        <v>784</v>
      </c>
    </row>
    <row r="442" spans="1:15">
      <c r="A442" t="s">
        <v>452</v>
      </c>
      <c r="B442" t="s">
        <v>565</v>
      </c>
      <c r="C442" s="2">
        <v>45964.024953703702</v>
      </c>
      <c r="D442" s="1">
        <v>45979.024953703702</v>
      </c>
      <c r="E442" s="1">
        <v>45981.024953703702</v>
      </c>
      <c r="F442">
        <f>HotelSales[[#This Row],[Check_Out]]-HotelSales[[#This Row],[Check_In]]</f>
        <v>2</v>
      </c>
      <c r="G442" t="s">
        <v>775</v>
      </c>
      <c r="H442" t="s">
        <v>777</v>
      </c>
      <c r="I442" t="s">
        <v>781</v>
      </c>
      <c r="J442">
        <v>4</v>
      </c>
      <c r="K442">
        <v>11000</v>
      </c>
      <c r="L442">
        <f>HotelSales[[#This Row],[Stay_Nights]]*HotelSales[[#This Row],[Room_Rate]]</f>
        <v>22000</v>
      </c>
      <c r="M442">
        <v>6000</v>
      </c>
      <c r="N442">
        <f>HotelSales[[#This Row],[Room_Revenue]]+HotelSales[[#This Row],[Restaurant_Spend]]</f>
        <v>28000</v>
      </c>
      <c r="O442" t="s">
        <v>783</v>
      </c>
    </row>
    <row r="443" spans="1:15">
      <c r="A443" t="s">
        <v>453</v>
      </c>
      <c r="B443" t="s">
        <v>514</v>
      </c>
      <c r="C443" s="2">
        <v>45964.384467592587</v>
      </c>
      <c r="D443" s="1">
        <v>45992.384467592587</v>
      </c>
      <c r="E443" s="1">
        <v>45995.384467592587</v>
      </c>
      <c r="F443">
        <f>HotelSales[[#This Row],[Check_Out]]-HotelSales[[#This Row],[Check_In]]</f>
        <v>3</v>
      </c>
      <c r="G443" t="s">
        <v>776</v>
      </c>
      <c r="H443" t="s">
        <v>778</v>
      </c>
      <c r="I443" t="s">
        <v>780</v>
      </c>
      <c r="J443">
        <v>4</v>
      </c>
      <c r="K443">
        <v>17000</v>
      </c>
      <c r="L443">
        <f>HotelSales[[#This Row],[Stay_Nights]]*HotelSales[[#This Row],[Room_Rate]]</f>
        <v>51000</v>
      </c>
      <c r="M443">
        <v>7000</v>
      </c>
      <c r="N443">
        <f>HotelSales[[#This Row],[Room_Revenue]]+HotelSales[[#This Row],[Restaurant_Spend]]</f>
        <v>58000</v>
      </c>
      <c r="O443" t="s">
        <v>786</v>
      </c>
    </row>
    <row r="444" spans="1:15">
      <c r="A444" t="s">
        <v>454</v>
      </c>
      <c r="B444" t="s">
        <v>757</v>
      </c>
      <c r="C444" s="2">
        <v>45965.059687499997</v>
      </c>
      <c r="D444" s="1">
        <v>45985.059687499997</v>
      </c>
      <c r="E444" s="1">
        <v>45989.059687499997</v>
      </c>
      <c r="F444">
        <f>HotelSales[[#This Row],[Check_Out]]-HotelSales[[#This Row],[Check_In]]</f>
        <v>4</v>
      </c>
      <c r="G444" t="s">
        <v>775</v>
      </c>
      <c r="H444" t="s">
        <v>777</v>
      </c>
      <c r="I444" t="s">
        <v>780</v>
      </c>
      <c r="J444">
        <v>1</v>
      </c>
      <c r="K444">
        <v>12000</v>
      </c>
      <c r="L444">
        <f>HotelSales[[#This Row],[Stay_Nights]]*HotelSales[[#This Row],[Room_Rate]]</f>
        <v>48000</v>
      </c>
      <c r="M444">
        <v>15000</v>
      </c>
      <c r="N444">
        <f>HotelSales[[#This Row],[Room_Revenue]]+HotelSales[[#This Row],[Restaurant_Spend]]</f>
        <v>63000</v>
      </c>
      <c r="O444" t="s">
        <v>786</v>
      </c>
    </row>
    <row r="445" spans="1:15">
      <c r="A445" t="s">
        <v>455</v>
      </c>
      <c r="B445" t="s">
        <v>619</v>
      </c>
      <c r="C445" s="2">
        <v>45965.280300925922</v>
      </c>
      <c r="D445" s="1">
        <v>45988.280300925922</v>
      </c>
      <c r="E445" s="1">
        <v>45993.280300925922</v>
      </c>
      <c r="F445">
        <f>HotelSales[[#This Row],[Check_Out]]-HotelSales[[#This Row],[Check_In]]</f>
        <v>5</v>
      </c>
      <c r="G445" t="s">
        <v>775</v>
      </c>
      <c r="H445" t="s">
        <v>777</v>
      </c>
      <c r="I445" t="s">
        <v>780</v>
      </c>
      <c r="J445">
        <v>2</v>
      </c>
      <c r="K445">
        <v>11000</v>
      </c>
      <c r="L445">
        <f>HotelSales[[#This Row],[Stay_Nights]]*HotelSales[[#This Row],[Room_Rate]]</f>
        <v>55000</v>
      </c>
      <c r="M445">
        <v>3500</v>
      </c>
      <c r="N445">
        <f>HotelSales[[#This Row],[Room_Revenue]]+HotelSales[[#This Row],[Restaurant_Spend]]</f>
        <v>58500</v>
      </c>
      <c r="O445" t="s">
        <v>787</v>
      </c>
    </row>
    <row r="446" spans="1:15">
      <c r="A446" t="s">
        <v>456</v>
      </c>
      <c r="B446" t="s">
        <v>758</v>
      </c>
      <c r="C446" s="2">
        <v>45965.672465277778</v>
      </c>
      <c r="D446" s="1">
        <v>45973.672465277778</v>
      </c>
      <c r="E446" s="1">
        <v>45976.672465277778</v>
      </c>
      <c r="F446">
        <f>HotelSales[[#This Row],[Check_Out]]-HotelSales[[#This Row],[Check_In]]</f>
        <v>3</v>
      </c>
      <c r="G446" t="s">
        <v>775</v>
      </c>
      <c r="H446" t="s">
        <v>778</v>
      </c>
      <c r="I446" t="s">
        <v>780</v>
      </c>
      <c r="J446">
        <v>3</v>
      </c>
      <c r="K446">
        <v>11000</v>
      </c>
      <c r="L446">
        <f>HotelSales[[#This Row],[Stay_Nights]]*HotelSales[[#This Row],[Room_Rate]]</f>
        <v>33000</v>
      </c>
      <c r="M446">
        <v>12000</v>
      </c>
      <c r="N446">
        <f>HotelSales[[#This Row],[Room_Revenue]]+HotelSales[[#This Row],[Restaurant_Spend]]</f>
        <v>45000</v>
      </c>
      <c r="O446" t="s">
        <v>787</v>
      </c>
    </row>
    <row r="447" spans="1:15">
      <c r="A447" t="s">
        <v>457</v>
      </c>
      <c r="B447" t="s">
        <v>539</v>
      </c>
      <c r="C447" s="2">
        <v>45967.287511574083</v>
      </c>
      <c r="D447" s="1">
        <v>45991.287511574083</v>
      </c>
      <c r="E447" s="1">
        <v>45992.287511574083</v>
      </c>
      <c r="F447">
        <f>HotelSales[[#This Row],[Check_Out]]-HotelSales[[#This Row],[Check_In]]</f>
        <v>1</v>
      </c>
      <c r="G447" t="s">
        <v>776</v>
      </c>
      <c r="H447" t="s">
        <v>777</v>
      </c>
      <c r="I447" t="s">
        <v>780</v>
      </c>
      <c r="J447">
        <v>1</v>
      </c>
      <c r="K447">
        <v>19000</v>
      </c>
      <c r="L447">
        <f>HotelSales[[#This Row],[Stay_Nights]]*HotelSales[[#This Row],[Room_Rate]]</f>
        <v>19000</v>
      </c>
      <c r="M447">
        <v>5500</v>
      </c>
      <c r="N447">
        <f>HotelSales[[#This Row],[Room_Revenue]]+HotelSales[[#This Row],[Restaurant_Spend]]</f>
        <v>24500</v>
      </c>
      <c r="O447" t="s">
        <v>785</v>
      </c>
    </row>
    <row r="448" spans="1:15">
      <c r="A448" t="s">
        <v>458</v>
      </c>
      <c r="B448" t="s">
        <v>634</v>
      </c>
      <c r="C448" s="2">
        <v>45967.364849537043</v>
      </c>
      <c r="D448" s="1">
        <v>45982.364849537043</v>
      </c>
      <c r="E448" s="1">
        <v>45989.364849537043</v>
      </c>
      <c r="F448">
        <f>HotelSales[[#This Row],[Check_Out]]-HotelSales[[#This Row],[Check_In]]</f>
        <v>7</v>
      </c>
      <c r="G448" t="s">
        <v>775</v>
      </c>
      <c r="H448" t="s">
        <v>778</v>
      </c>
      <c r="I448" t="s">
        <v>780</v>
      </c>
      <c r="J448">
        <v>2</v>
      </c>
      <c r="K448">
        <v>12000</v>
      </c>
      <c r="L448">
        <f>HotelSales[[#This Row],[Stay_Nights]]*HotelSales[[#This Row],[Room_Rate]]</f>
        <v>84000</v>
      </c>
      <c r="M448">
        <v>6500</v>
      </c>
      <c r="N448">
        <f>HotelSales[[#This Row],[Room_Revenue]]+HotelSales[[#This Row],[Restaurant_Spend]]</f>
        <v>90500</v>
      </c>
      <c r="O448" t="s">
        <v>787</v>
      </c>
    </row>
    <row r="449" spans="1:15">
      <c r="A449" t="s">
        <v>459</v>
      </c>
      <c r="B449" t="s">
        <v>530</v>
      </c>
      <c r="C449" s="2">
        <v>45967.412754629629</v>
      </c>
      <c r="D449" s="1">
        <v>45987.412754629629</v>
      </c>
      <c r="E449" s="1">
        <v>45989.412754629629</v>
      </c>
      <c r="F449">
        <f>HotelSales[[#This Row],[Check_Out]]-HotelSales[[#This Row],[Check_In]]</f>
        <v>2</v>
      </c>
      <c r="G449" t="s">
        <v>776</v>
      </c>
      <c r="H449" t="s">
        <v>777</v>
      </c>
      <c r="I449" t="s">
        <v>781</v>
      </c>
      <c r="J449">
        <v>2</v>
      </c>
      <c r="K449">
        <v>18000</v>
      </c>
      <c r="L449">
        <f>HotelSales[[#This Row],[Stay_Nights]]*HotelSales[[#This Row],[Room_Rate]]</f>
        <v>36000</v>
      </c>
      <c r="M449">
        <v>5500</v>
      </c>
      <c r="N449">
        <f>HotelSales[[#This Row],[Room_Revenue]]+HotelSales[[#This Row],[Restaurant_Spend]]</f>
        <v>41500</v>
      </c>
      <c r="O449" t="s">
        <v>785</v>
      </c>
    </row>
    <row r="450" spans="1:15">
      <c r="A450" t="s">
        <v>460</v>
      </c>
      <c r="B450" t="s">
        <v>609</v>
      </c>
      <c r="C450" s="2">
        <v>45967.937986111108</v>
      </c>
      <c r="D450" s="1">
        <v>45969.937986111108</v>
      </c>
      <c r="E450" s="1">
        <v>45972.937986111108</v>
      </c>
      <c r="F450">
        <f>HotelSales[[#This Row],[Check_Out]]-HotelSales[[#This Row],[Check_In]]</f>
        <v>3</v>
      </c>
      <c r="G450" t="s">
        <v>776</v>
      </c>
      <c r="H450" t="s">
        <v>778</v>
      </c>
      <c r="I450" t="s">
        <v>780</v>
      </c>
      <c r="J450">
        <v>2</v>
      </c>
      <c r="K450">
        <v>19000</v>
      </c>
      <c r="L450">
        <f>HotelSales[[#This Row],[Stay_Nights]]*HotelSales[[#This Row],[Room_Rate]]</f>
        <v>57000</v>
      </c>
      <c r="M450">
        <v>6000</v>
      </c>
      <c r="N450">
        <f>HotelSales[[#This Row],[Room_Revenue]]+HotelSales[[#This Row],[Restaurant_Spend]]</f>
        <v>63000</v>
      </c>
      <c r="O450" t="s">
        <v>784</v>
      </c>
    </row>
    <row r="451" spans="1:15">
      <c r="A451" t="s">
        <v>461</v>
      </c>
      <c r="B451" t="s">
        <v>733</v>
      </c>
      <c r="C451" s="2">
        <v>45968.712638888886</v>
      </c>
      <c r="D451" s="1">
        <v>45976.712638888886</v>
      </c>
      <c r="E451" s="1">
        <v>45979.712638888886</v>
      </c>
      <c r="F451">
        <f>HotelSales[[#This Row],[Check_Out]]-HotelSales[[#This Row],[Check_In]]</f>
        <v>3</v>
      </c>
      <c r="G451" t="s">
        <v>774</v>
      </c>
      <c r="H451" t="s">
        <v>777</v>
      </c>
      <c r="I451" t="s">
        <v>781</v>
      </c>
      <c r="J451">
        <v>2</v>
      </c>
      <c r="K451">
        <v>30000</v>
      </c>
      <c r="L451">
        <f>HotelSales[[#This Row],[Stay_Nights]]*HotelSales[[#This Row],[Room_Rate]]</f>
        <v>90000</v>
      </c>
      <c r="M451">
        <v>9000</v>
      </c>
      <c r="N451">
        <f>HotelSales[[#This Row],[Room_Revenue]]+HotelSales[[#This Row],[Restaurant_Spend]]</f>
        <v>99000</v>
      </c>
      <c r="O451" t="s">
        <v>786</v>
      </c>
    </row>
    <row r="452" spans="1:15">
      <c r="A452" t="s">
        <v>462</v>
      </c>
      <c r="B452" t="s">
        <v>759</v>
      </c>
      <c r="C452" s="2">
        <v>45972.467499999999</v>
      </c>
      <c r="D452" s="1">
        <v>45982.467499999999</v>
      </c>
      <c r="E452" s="1">
        <v>45989.467499999999</v>
      </c>
      <c r="F452">
        <f>HotelSales[[#This Row],[Check_Out]]-HotelSales[[#This Row],[Check_In]]</f>
        <v>7</v>
      </c>
      <c r="G452" t="s">
        <v>776</v>
      </c>
      <c r="H452" t="s">
        <v>778</v>
      </c>
      <c r="I452" t="s">
        <v>780</v>
      </c>
      <c r="J452">
        <v>2</v>
      </c>
      <c r="K452">
        <v>17000</v>
      </c>
      <c r="L452">
        <f>HotelSales[[#This Row],[Stay_Nights]]*HotelSales[[#This Row],[Room_Rate]]</f>
        <v>119000</v>
      </c>
      <c r="M452">
        <v>6500</v>
      </c>
      <c r="N452">
        <f>HotelSales[[#This Row],[Room_Revenue]]+HotelSales[[#This Row],[Restaurant_Spend]]</f>
        <v>125500</v>
      </c>
      <c r="O452" t="s">
        <v>785</v>
      </c>
    </row>
    <row r="453" spans="1:15">
      <c r="A453" t="s">
        <v>463</v>
      </c>
      <c r="B453" t="s">
        <v>760</v>
      </c>
      <c r="C453" s="2">
        <v>45973.813622685193</v>
      </c>
      <c r="D453" s="1">
        <v>45996.813622685193</v>
      </c>
      <c r="E453" s="1">
        <v>45999.813622685193</v>
      </c>
      <c r="F453">
        <f>HotelSales[[#This Row],[Check_Out]]-HotelSales[[#This Row],[Check_In]]</f>
        <v>3</v>
      </c>
      <c r="G453" t="s">
        <v>775</v>
      </c>
      <c r="H453" t="s">
        <v>778</v>
      </c>
      <c r="I453" t="s">
        <v>781</v>
      </c>
      <c r="J453">
        <v>2</v>
      </c>
      <c r="K453">
        <v>11000</v>
      </c>
      <c r="L453">
        <f>HotelSales[[#This Row],[Stay_Nights]]*HotelSales[[#This Row],[Room_Rate]]</f>
        <v>33000</v>
      </c>
      <c r="M453">
        <v>7500</v>
      </c>
      <c r="N453">
        <f>HotelSales[[#This Row],[Room_Revenue]]+HotelSales[[#This Row],[Restaurant_Spend]]</f>
        <v>40500</v>
      </c>
      <c r="O453" t="s">
        <v>782</v>
      </c>
    </row>
    <row r="454" spans="1:15">
      <c r="A454" t="s">
        <v>464</v>
      </c>
      <c r="B454" t="s">
        <v>709</v>
      </c>
      <c r="C454" s="2">
        <v>45974.502546296288</v>
      </c>
      <c r="D454" s="1">
        <v>45992.502546296288</v>
      </c>
      <c r="E454" s="1">
        <v>45997.502546296288</v>
      </c>
      <c r="F454">
        <f>HotelSales[[#This Row],[Check_Out]]-HotelSales[[#This Row],[Check_In]]</f>
        <v>5</v>
      </c>
      <c r="G454" t="s">
        <v>776</v>
      </c>
      <c r="H454" t="s">
        <v>777</v>
      </c>
      <c r="I454" t="s">
        <v>779</v>
      </c>
      <c r="J454">
        <v>3</v>
      </c>
      <c r="K454">
        <v>18000</v>
      </c>
      <c r="L454">
        <f>HotelSales[[#This Row],[Stay_Nights]]*HotelSales[[#This Row],[Room_Rate]]</f>
        <v>90000</v>
      </c>
      <c r="M454">
        <v>11000</v>
      </c>
      <c r="N454">
        <f>HotelSales[[#This Row],[Room_Revenue]]+HotelSales[[#This Row],[Restaurant_Spend]]</f>
        <v>101000</v>
      </c>
      <c r="O454" t="s">
        <v>782</v>
      </c>
    </row>
    <row r="455" spans="1:15">
      <c r="A455" t="s">
        <v>465</v>
      </c>
      <c r="B455" t="s">
        <v>562</v>
      </c>
      <c r="C455" s="2">
        <v>45974.5390625</v>
      </c>
      <c r="D455" s="1">
        <v>46002.5390625</v>
      </c>
      <c r="E455" s="1">
        <v>46008.5390625</v>
      </c>
      <c r="F455">
        <f>HotelSales[[#This Row],[Check_Out]]-HotelSales[[#This Row],[Check_In]]</f>
        <v>6</v>
      </c>
      <c r="G455" t="s">
        <v>775</v>
      </c>
      <c r="H455" t="s">
        <v>777</v>
      </c>
      <c r="I455" t="s">
        <v>780</v>
      </c>
      <c r="J455">
        <v>1</v>
      </c>
      <c r="K455">
        <v>12000</v>
      </c>
      <c r="L455">
        <f>HotelSales[[#This Row],[Stay_Nights]]*HotelSales[[#This Row],[Room_Rate]]</f>
        <v>72000</v>
      </c>
      <c r="M455">
        <v>3500</v>
      </c>
      <c r="N455">
        <f>HotelSales[[#This Row],[Room_Revenue]]+HotelSales[[#This Row],[Restaurant_Spend]]</f>
        <v>75500</v>
      </c>
      <c r="O455" t="s">
        <v>783</v>
      </c>
    </row>
    <row r="456" spans="1:15">
      <c r="A456" t="s">
        <v>466</v>
      </c>
      <c r="B456" t="s">
        <v>578</v>
      </c>
      <c r="C456" s="2">
        <v>45975.344351851847</v>
      </c>
      <c r="D456" s="1">
        <v>45988.344351851847</v>
      </c>
      <c r="E456" s="1">
        <v>45990.344351851847</v>
      </c>
      <c r="F456">
        <f>HotelSales[[#This Row],[Check_Out]]-HotelSales[[#This Row],[Check_In]]</f>
        <v>2</v>
      </c>
      <c r="G456" t="s">
        <v>775</v>
      </c>
      <c r="H456" t="s">
        <v>778</v>
      </c>
      <c r="I456" t="s">
        <v>781</v>
      </c>
      <c r="J456">
        <v>2</v>
      </c>
      <c r="K456">
        <v>11000</v>
      </c>
      <c r="L456">
        <f>HotelSales[[#This Row],[Stay_Nights]]*HotelSales[[#This Row],[Room_Rate]]</f>
        <v>22000</v>
      </c>
      <c r="M456">
        <v>3500</v>
      </c>
      <c r="N456">
        <f>HotelSales[[#This Row],[Room_Revenue]]+HotelSales[[#This Row],[Restaurant_Spend]]</f>
        <v>25500</v>
      </c>
      <c r="O456" t="s">
        <v>786</v>
      </c>
    </row>
    <row r="457" spans="1:15">
      <c r="A457" t="s">
        <v>467</v>
      </c>
      <c r="B457" t="s">
        <v>542</v>
      </c>
      <c r="C457" s="2">
        <v>45975.60796296296</v>
      </c>
      <c r="D457" s="1">
        <v>46000.60796296296</v>
      </c>
      <c r="E457" s="1">
        <v>46001.60796296296</v>
      </c>
      <c r="F457">
        <f>HotelSales[[#This Row],[Check_Out]]-HotelSales[[#This Row],[Check_In]]</f>
        <v>1</v>
      </c>
      <c r="G457" t="s">
        <v>775</v>
      </c>
      <c r="H457" t="s">
        <v>777</v>
      </c>
      <c r="I457" t="s">
        <v>780</v>
      </c>
      <c r="J457">
        <v>3</v>
      </c>
      <c r="K457">
        <v>11000</v>
      </c>
      <c r="L457">
        <f>HotelSales[[#This Row],[Stay_Nights]]*HotelSales[[#This Row],[Room_Rate]]</f>
        <v>11000</v>
      </c>
      <c r="M457">
        <v>8500</v>
      </c>
      <c r="N457">
        <f>HotelSales[[#This Row],[Room_Revenue]]+HotelSales[[#This Row],[Restaurant_Spend]]</f>
        <v>19500</v>
      </c>
      <c r="O457" t="s">
        <v>782</v>
      </c>
    </row>
    <row r="458" spans="1:15">
      <c r="A458" t="s">
        <v>468</v>
      </c>
      <c r="B458" t="s">
        <v>648</v>
      </c>
      <c r="C458" s="2">
        <v>45975.671805555547</v>
      </c>
      <c r="D458" s="1">
        <v>45984.671805555547</v>
      </c>
      <c r="E458" s="1">
        <v>45987.671805555547</v>
      </c>
      <c r="F458">
        <f>HotelSales[[#This Row],[Check_Out]]-HotelSales[[#This Row],[Check_In]]</f>
        <v>3</v>
      </c>
      <c r="G458" t="s">
        <v>774</v>
      </c>
      <c r="H458" t="s">
        <v>777</v>
      </c>
      <c r="I458" t="s">
        <v>780</v>
      </c>
      <c r="J458">
        <v>1</v>
      </c>
      <c r="K458">
        <v>30000</v>
      </c>
      <c r="L458">
        <f>HotelSales[[#This Row],[Stay_Nights]]*HotelSales[[#This Row],[Room_Rate]]</f>
        <v>90000</v>
      </c>
      <c r="M458">
        <v>10500</v>
      </c>
      <c r="N458">
        <f>HotelSales[[#This Row],[Room_Revenue]]+HotelSales[[#This Row],[Restaurant_Spend]]</f>
        <v>100500</v>
      </c>
      <c r="O458" t="s">
        <v>785</v>
      </c>
    </row>
    <row r="459" spans="1:15">
      <c r="A459" t="s">
        <v>469</v>
      </c>
      <c r="B459" t="s">
        <v>761</v>
      </c>
      <c r="C459" s="2">
        <v>45975.704780092587</v>
      </c>
      <c r="D459" s="1">
        <v>46002.704780092587</v>
      </c>
      <c r="E459" s="1">
        <v>46009.704780092587</v>
      </c>
      <c r="F459">
        <f>HotelSales[[#This Row],[Check_Out]]-HotelSales[[#This Row],[Check_In]]</f>
        <v>7</v>
      </c>
      <c r="G459" t="s">
        <v>775</v>
      </c>
      <c r="H459" t="s">
        <v>777</v>
      </c>
      <c r="I459" t="s">
        <v>780</v>
      </c>
      <c r="J459">
        <v>2</v>
      </c>
      <c r="K459">
        <v>13000</v>
      </c>
      <c r="L459">
        <f>HotelSales[[#This Row],[Stay_Nights]]*HotelSales[[#This Row],[Room_Rate]]</f>
        <v>91000</v>
      </c>
      <c r="M459">
        <v>0</v>
      </c>
      <c r="N459">
        <f>HotelSales[[#This Row],[Room_Revenue]]+HotelSales[[#This Row],[Restaurant_Spend]]</f>
        <v>91000</v>
      </c>
      <c r="O459" t="s">
        <v>782</v>
      </c>
    </row>
    <row r="460" spans="1:15">
      <c r="A460" t="s">
        <v>470</v>
      </c>
      <c r="B460" t="s">
        <v>762</v>
      </c>
      <c r="C460" s="2">
        <v>45975.748229166667</v>
      </c>
      <c r="D460" s="1">
        <v>45983.748229166667</v>
      </c>
      <c r="E460" s="1">
        <v>45990.748229166667</v>
      </c>
      <c r="F460">
        <f>HotelSales[[#This Row],[Check_Out]]-HotelSales[[#This Row],[Check_In]]</f>
        <v>7</v>
      </c>
      <c r="G460" t="s">
        <v>776</v>
      </c>
      <c r="H460" t="s">
        <v>778</v>
      </c>
      <c r="I460" t="s">
        <v>779</v>
      </c>
      <c r="J460">
        <v>4</v>
      </c>
      <c r="K460">
        <v>19000</v>
      </c>
      <c r="L460">
        <f>HotelSales[[#This Row],[Stay_Nights]]*HotelSales[[#This Row],[Room_Rate]]</f>
        <v>133000</v>
      </c>
      <c r="M460">
        <v>4000</v>
      </c>
      <c r="N460">
        <f>HotelSales[[#This Row],[Room_Revenue]]+HotelSales[[#This Row],[Restaurant_Spend]]</f>
        <v>137000</v>
      </c>
      <c r="O460" t="s">
        <v>786</v>
      </c>
    </row>
    <row r="461" spans="1:15">
      <c r="A461" t="s">
        <v>471</v>
      </c>
      <c r="B461" t="s">
        <v>570</v>
      </c>
      <c r="C461" s="2">
        <v>45978.555590277778</v>
      </c>
      <c r="D461" s="1">
        <v>45980.555590277778</v>
      </c>
      <c r="E461" s="1">
        <v>45985.555590277778</v>
      </c>
      <c r="F461">
        <f>HotelSales[[#This Row],[Check_Out]]-HotelSales[[#This Row],[Check_In]]</f>
        <v>5</v>
      </c>
      <c r="G461" t="s">
        <v>775</v>
      </c>
      <c r="H461" t="s">
        <v>778</v>
      </c>
      <c r="I461" t="s">
        <v>780</v>
      </c>
      <c r="J461">
        <v>4</v>
      </c>
      <c r="K461">
        <v>12000</v>
      </c>
      <c r="L461">
        <f>HotelSales[[#This Row],[Stay_Nights]]*HotelSales[[#This Row],[Room_Rate]]</f>
        <v>60000</v>
      </c>
      <c r="M461">
        <v>4500</v>
      </c>
      <c r="N461">
        <f>HotelSales[[#This Row],[Room_Revenue]]+HotelSales[[#This Row],[Restaurant_Spend]]</f>
        <v>64500</v>
      </c>
      <c r="O461" t="s">
        <v>787</v>
      </c>
    </row>
    <row r="462" spans="1:15">
      <c r="A462" t="s">
        <v>472</v>
      </c>
      <c r="B462" t="s">
        <v>726</v>
      </c>
      <c r="C462" s="2">
        <v>45979.538182870368</v>
      </c>
      <c r="D462" s="1">
        <v>46007.538182870368</v>
      </c>
      <c r="E462" s="1">
        <v>46010.538182870368</v>
      </c>
      <c r="F462">
        <f>HotelSales[[#This Row],[Check_Out]]-HotelSales[[#This Row],[Check_In]]</f>
        <v>3</v>
      </c>
      <c r="G462" t="s">
        <v>776</v>
      </c>
      <c r="H462" t="s">
        <v>778</v>
      </c>
      <c r="I462" t="s">
        <v>780</v>
      </c>
      <c r="J462">
        <v>2</v>
      </c>
      <c r="K462">
        <v>19000</v>
      </c>
      <c r="L462">
        <f>HotelSales[[#This Row],[Stay_Nights]]*HotelSales[[#This Row],[Room_Rate]]</f>
        <v>57000</v>
      </c>
      <c r="M462">
        <v>9000</v>
      </c>
      <c r="N462">
        <f>HotelSales[[#This Row],[Room_Revenue]]+HotelSales[[#This Row],[Restaurant_Spend]]</f>
        <v>66000</v>
      </c>
      <c r="O462" t="s">
        <v>783</v>
      </c>
    </row>
    <row r="463" spans="1:15">
      <c r="A463" t="s">
        <v>473</v>
      </c>
      <c r="B463" t="s">
        <v>620</v>
      </c>
      <c r="C463" s="2">
        <v>45979.788402777784</v>
      </c>
      <c r="D463" s="1">
        <v>46006.788402777784</v>
      </c>
      <c r="E463" s="1">
        <v>46007.788402777784</v>
      </c>
      <c r="F463">
        <f>HotelSales[[#This Row],[Check_Out]]-HotelSales[[#This Row],[Check_In]]</f>
        <v>1</v>
      </c>
      <c r="G463" t="s">
        <v>774</v>
      </c>
      <c r="H463" t="s">
        <v>778</v>
      </c>
      <c r="I463" t="s">
        <v>780</v>
      </c>
      <c r="J463">
        <v>2</v>
      </c>
      <c r="K463">
        <v>30000</v>
      </c>
      <c r="L463">
        <f>HotelSales[[#This Row],[Stay_Nights]]*HotelSales[[#This Row],[Room_Rate]]</f>
        <v>30000</v>
      </c>
      <c r="M463">
        <v>7000</v>
      </c>
      <c r="N463">
        <f>HotelSales[[#This Row],[Room_Revenue]]+HotelSales[[#This Row],[Restaurant_Spend]]</f>
        <v>37000</v>
      </c>
      <c r="O463" t="s">
        <v>786</v>
      </c>
    </row>
    <row r="464" spans="1:15">
      <c r="A464" t="s">
        <v>474</v>
      </c>
      <c r="B464" t="s">
        <v>763</v>
      </c>
      <c r="C464" s="2">
        <v>45979.905266203707</v>
      </c>
      <c r="D464" s="1">
        <v>46009.905266203707</v>
      </c>
      <c r="E464" s="1">
        <v>46011.905266203707</v>
      </c>
      <c r="F464">
        <f>HotelSales[[#This Row],[Check_Out]]-HotelSales[[#This Row],[Check_In]]</f>
        <v>2</v>
      </c>
      <c r="G464" t="s">
        <v>776</v>
      </c>
      <c r="H464" t="s">
        <v>778</v>
      </c>
      <c r="I464" t="s">
        <v>780</v>
      </c>
      <c r="J464">
        <v>2</v>
      </c>
      <c r="K464">
        <v>19000</v>
      </c>
      <c r="L464">
        <f>HotelSales[[#This Row],[Stay_Nights]]*HotelSales[[#This Row],[Room_Rate]]</f>
        <v>38000</v>
      </c>
      <c r="M464">
        <v>11000</v>
      </c>
      <c r="N464">
        <f>HotelSales[[#This Row],[Room_Revenue]]+HotelSales[[#This Row],[Restaurant_Spend]]</f>
        <v>49000</v>
      </c>
      <c r="O464" t="s">
        <v>782</v>
      </c>
    </row>
    <row r="465" spans="1:15">
      <c r="A465" t="s">
        <v>475</v>
      </c>
      <c r="B465" t="s">
        <v>523</v>
      </c>
      <c r="C465" s="2">
        <v>45982.376863425918</v>
      </c>
      <c r="D465" s="1">
        <v>45996.376863425918</v>
      </c>
      <c r="E465" s="1">
        <v>45998.376863425918</v>
      </c>
      <c r="F465">
        <f>HotelSales[[#This Row],[Check_Out]]-HotelSales[[#This Row],[Check_In]]</f>
        <v>2</v>
      </c>
      <c r="G465" t="s">
        <v>774</v>
      </c>
      <c r="H465" t="s">
        <v>777</v>
      </c>
      <c r="I465" t="s">
        <v>780</v>
      </c>
      <c r="J465">
        <v>3</v>
      </c>
      <c r="K465">
        <v>30000</v>
      </c>
      <c r="L465">
        <f>HotelSales[[#This Row],[Stay_Nights]]*HotelSales[[#This Row],[Room_Rate]]</f>
        <v>60000</v>
      </c>
      <c r="M465">
        <v>14000</v>
      </c>
      <c r="N465">
        <f>HotelSales[[#This Row],[Room_Revenue]]+HotelSales[[#This Row],[Restaurant_Spend]]</f>
        <v>74000</v>
      </c>
      <c r="O465" t="s">
        <v>786</v>
      </c>
    </row>
    <row r="466" spans="1:15">
      <c r="A466" t="s">
        <v>476</v>
      </c>
      <c r="B466" t="s">
        <v>649</v>
      </c>
      <c r="C466" s="2">
        <v>45982.938622685193</v>
      </c>
      <c r="D466" s="1">
        <v>46008.938622685193</v>
      </c>
      <c r="E466" s="1">
        <v>46012.938622685193</v>
      </c>
      <c r="F466">
        <f>HotelSales[[#This Row],[Check_Out]]-HotelSales[[#This Row],[Check_In]]</f>
        <v>4</v>
      </c>
      <c r="G466" t="s">
        <v>775</v>
      </c>
      <c r="H466" t="s">
        <v>778</v>
      </c>
      <c r="I466" t="s">
        <v>780</v>
      </c>
      <c r="J466">
        <v>4</v>
      </c>
      <c r="K466">
        <v>12000</v>
      </c>
      <c r="L466">
        <f>HotelSales[[#This Row],[Stay_Nights]]*HotelSales[[#This Row],[Room_Rate]]</f>
        <v>48000</v>
      </c>
      <c r="M466">
        <v>7500</v>
      </c>
      <c r="N466">
        <f>HotelSales[[#This Row],[Room_Revenue]]+HotelSales[[#This Row],[Restaurant_Spend]]</f>
        <v>55500</v>
      </c>
      <c r="O466" t="s">
        <v>783</v>
      </c>
    </row>
    <row r="467" spans="1:15">
      <c r="A467" t="s">
        <v>477</v>
      </c>
      <c r="B467" t="s">
        <v>621</v>
      </c>
      <c r="C467" s="2">
        <v>45983.04724537037</v>
      </c>
      <c r="D467" s="1">
        <v>45996.04724537037</v>
      </c>
      <c r="E467" s="1">
        <v>45998.04724537037</v>
      </c>
      <c r="F467">
        <f>HotelSales[[#This Row],[Check_Out]]-HotelSales[[#This Row],[Check_In]]</f>
        <v>2</v>
      </c>
      <c r="G467" t="s">
        <v>776</v>
      </c>
      <c r="H467" t="s">
        <v>777</v>
      </c>
      <c r="I467" t="s">
        <v>781</v>
      </c>
      <c r="J467">
        <v>4</v>
      </c>
      <c r="K467">
        <v>19000</v>
      </c>
      <c r="L467">
        <f>HotelSales[[#This Row],[Stay_Nights]]*HotelSales[[#This Row],[Room_Rate]]</f>
        <v>38000</v>
      </c>
      <c r="M467">
        <v>3000</v>
      </c>
      <c r="N467">
        <f>HotelSales[[#This Row],[Room_Revenue]]+HotelSales[[#This Row],[Restaurant_Spend]]</f>
        <v>41000</v>
      </c>
      <c r="O467" t="s">
        <v>786</v>
      </c>
    </row>
    <row r="468" spans="1:15">
      <c r="A468" t="s">
        <v>478</v>
      </c>
      <c r="B468" t="s">
        <v>568</v>
      </c>
      <c r="C468" s="2">
        <v>45983.545335648138</v>
      </c>
      <c r="D468" s="1">
        <v>45990.545335648138</v>
      </c>
      <c r="E468" s="1">
        <v>45997.545335648138</v>
      </c>
      <c r="F468">
        <f>HotelSales[[#This Row],[Check_Out]]-HotelSales[[#This Row],[Check_In]]</f>
        <v>7</v>
      </c>
      <c r="G468" t="s">
        <v>775</v>
      </c>
      <c r="H468" t="s">
        <v>778</v>
      </c>
      <c r="I468" t="s">
        <v>780</v>
      </c>
      <c r="J468">
        <v>4</v>
      </c>
      <c r="K468">
        <v>12000</v>
      </c>
      <c r="L468">
        <f>HotelSales[[#This Row],[Stay_Nights]]*HotelSales[[#This Row],[Room_Rate]]</f>
        <v>84000</v>
      </c>
      <c r="M468">
        <v>6500</v>
      </c>
      <c r="N468">
        <f>HotelSales[[#This Row],[Room_Revenue]]+HotelSales[[#This Row],[Restaurant_Spend]]</f>
        <v>90500</v>
      </c>
      <c r="O468" t="s">
        <v>783</v>
      </c>
    </row>
    <row r="469" spans="1:15">
      <c r="A469" t="s">
        <v>479</v>
      </c>
      <c r="B469" t="s">
        <v>635</v>
      </c>
      <c r="C469" s="2">
        <v>45984.086365740739</v>
      </c>
      <c r="D469" s="1">
        <v>45987.086365740739</v>
      </c>
      <c r="E469" s="1">
        <v>45992.086365740739</v>
      </c>
      <c r="F469">
        <f>HotelSales[[#This Row],[Check_Out]]-HotelSales[[#This Row],[Check_In]]</f>
        <v>5</v>
      </c>
      <c r="G469" t="s">
        <v>775</v>
      </c>
      <c r="H469" t="s">
        <v>777</v>
      </c>
      <c r="I469" t="s">
        <v>780</v>
      </c>
      <c r="J469">
        <v>2</v>
      </c>
      <c r="K469">
        <v>11000</v>
      </c>
      <c r="L469">
        <f>HotelSales[[#This Row],[Stay_Nights]]*HotelSales[[#This Row],[Room_Rate]]</f>
        <v>55000</v>
      </c>
      <c r="M469">
        <v>9500</v>
      </c>
      <c r="N469">
        <f>HotelSales[[#This Row],[Room_Revenue]]+HotelSales[[#This Row],[Restaurant_Spend]]</f>
        <v>64500</v>
      </c>
      <c r="O469" t="s">
        <v>784</v>
      </c>
    </row>
    <row r="470" spans="1:15">
      <c r="A470" t="s">
        <v>480</v>
      </c>
      <c r="B470" t="s">
        <v>764</v>
      </c>
      <c r="C470" s="2">
        <v>45985.166481481479</v>
      </c>
      <c r="D470" s="1">
        <v>46014.166481481479</v>
      </c>
      <c r="E470" s="1">
        <v>46016.166481481479</v>
      </c>
      <c r="F470">
        <f>HotelSales[[#This Row],[Check_Out]]-HotelSales[[#This Row],[Check_In]]</f>
        <v>2</v>
      </c>
      <c r="G470" t="s">
        <v>776</v>
      </c>
      <c r="H470" t="s">
        <v>777</v>
      </c>
      <c r="I470" t="s">
        <v>780</v>
      </c>
      <c r="J470">
        <v>4</v>
      </c>
      <c r="K470">
        <v>17000</v>
      </c>
      <c r="L470">
        <f>HotelSales[[#This Row],[Stay_Nights]]*HotelSales[[#This Row],[Room_Rate]]</f>
        <v>34000</v>
      </c>
      <c r="M470">
        <v>3000</v>
      </c>
      <c r="N470">
        <f>HotelSales[[#This Row],[Room_Revenue]]+HotelSales[[#This Row],[Restaurant_Spend]]</f>
        <v>37000</v>
      </c>
      <c r="O470" t="s">
        <v>785</v>
      </c>
    </row>
    <row r="471" spans="1:15">
      <c r="A471" t="s">
        <v>481</v>
      </c>
      <c r="B471" t="s">
        <v>645</v>
      </c>
      <c r="C471" s="2">
        <v>45986.031331018523</v>
      </c>
      <c r="D471" s="1">
        <v>46010.031331018523</v>
      </c>
      <c r="E471" s="1">
        <v>46013.031331018523</v>
      </c>
      <c r="F471">
        <f>HotelSales[[#This Row],[Check_Out]]-HotelSales[[#This Row],[Check_In]]</f>
        <v>3</v>
      </c>
      <c r="G471" t="s">
        <v>775</v>
      </c>
      <c r="H471" t="s">
        <v>778</v>
      </c>
      <c r="I471" t="s">
        <v>779</v>
      </c>
      <c r="J471">
        <v>2</v>
      </c>
      <c r="K471">
        <v>12000</v>
      </c>
      <c r="L471">
        <f>HotelSales[[#This Row],[Stay_Nights]]*HotelSales[[#This Row],[Room_Rate]]</f>
        <v>36000</v>
      </c>
      <c r="M471">
        <v>8000</v>
      </c>
      <c r="N471">
        <f>HotelSales[[#This Row],[Room_Revenue]]+HotelSales[[#This Row],[Restaurant_Spend]]</f>
        <v>44000</v>
      </c>
      <c r="O471" t="s">
        <v>784</v>
      </c>
    </row>
    <row r="472" spans="1:15">
      <c r="A472" t="s">
        <v>482</v>
      </c>
      <c r="B472" t="s">
        <v>765</v>
      </c>
      <c r="C472" s="2">
        <v>45986.09883101852</v>
      </c>
      <c r="D472" s="1">
        <v>46001.09883101852</v>
      </c>
      <c r="E472" s="1">
        <v>46004.09883101852</v>
      </c>
      <c r="F472">
        <f>HotelSales[[#This Row],[Check_Out]]-HotelSales[[#This Row],[Check_In]]</f>
        <v>3</v>
      </c>
      <c r="G472" t="s">
        <v>776</v>
      </c>
      <c r="H472" t="s">
        <v>778</v>
      </c>
      <c r="I472" t="s">
        <v>779</v>
      </c>
      <c r="J472">
        <v>2</v>
      </c>
      <c r="K472">
        <v>19000</v>
      </c>
      <c r="L472">
        <f>HotelSales[[#This Row],[Stay_Nights]]*HotelSales[[#This Row],[Room_Rate]]</f>
        <v>57000</v>
      </c>
      <c r="M472">
        <v>4000</v>
      </c>
      <c r="N472">
        <f>HotelSales[[#This Row],[Room_Revenue]]+HotelSales[[#This Row],[Restaurant_Spend]]</f>
        <v>61000</v>
      </c>
      <c r="O472" t="s">
        <v>783</v>
      </c>
    </row>
    <row r="473" spans="1:15">
      <c r="A473" t="s">
        <v>483</v>
      </c>
      <c r="B473" t="s">
        <v>766</v>
      </c>
      <c r="C473" s="2">
        <v>45986.382453703707</v>
      </c>
      <c r="D473" s="1">
        <v>46001.382453703707</v>
      </c>
      <c r="E473" s="1">
        <v>46005.382453703707</v>
      </c>
      <c r="F473">
        <f>HotelSales[[#This Row],[Check_Out]]-HotelSales[[#This Row],[Check_In]]</f>
        <v>4</v>
      </c>
      <c r="G473" t="s">
        <v>774</v>
      </c>
      <c r="H473" t="s">
        <v>778</v>
      </c>
      <c r="I473" t="s">
        <v>780</v>
      </c>
      <c r="J473">
        <v>2</v>
      </c>
      <c r="K473">
        <v>29000</v>
      </c>
      <c r="L473">
        <f>HotelSales[[#This Row],[Stay_Nights]]*HotelSales[[#This Row],[Room_Rate]]</f>
        <v>116000</v>
      </c>
      <c r="M473">
        <v>4000</v>
      </c>
      <c r="N473">
        <f>HotelSales[[#This Row],[Room_Revenue]]+HotelSales[[#This Row],[Restaurant_Spend]]</f>
        <v>120000</v>
      </c>
      <c r="O473" t="s">
        <v>783</v>
      </c>
    </row>
    <row r="474" spans="1:15">
      <c r="A474" t="s">
        <v>484</v>
      </c>
      <c r="B474" t="s">
        <v>767</v>
      </c>
      <c r="C474" s="2">
        <v>45986.599664351852</v>
      </c>
      <c r="D474" s="1">
        <v>46012.599664351852</v>
      </c>
      <c r="E474" s="1">
        <v>46013.599664351852</v>
      </c>
      <c r="F474">
        <f>HotelSales[[#This Row],[Check_Out]]-HotelSales[[#This Row],[Check_In]]</f>
        <v>1</v>
      </c>
      <c r="G474" t="s">
        <v>776</v>
      </c>
      <c r="H474" t="s">
        <v>778</v>
      </c>
      <c r="I474" t="s">
        <v>780</v>
      </c>
      <c r="J474">
        <v>2</v>
      </c>
      <c r="K474">
        <v>18000</v>
      </c>
      <c r="L474">
        <f>HotelSales[[#This Row],[Stay_Nights]]*HotelSales[[#This Row],[Room_Rate]]</f>
        <v>18000</v>
      </c>
      <c r="M474">
        <v>10500</v>
      </c>
      <c r="N474">
        <f>HotelSales[[#This Row],[Room_Revenue]]+HotelSales[[#This Row],[Restaurant_Spend]]</f>
        <v>28500</v>
      </c>
      <c r="O474" t="s">
        <v>782</v>
      </c>
    </row>
    <row r="475" spans="1:15">
      <c r="A475" t="s">
        <v>485</v>
      </c>
      <c r="B475" t="s">
        <v>545</v>
      </c>
      <c r="C475" s="2">
        <v>45988.131284722222</v>
      </c>
      <c r="D475" s="1">
        <v>46007.131284722222</v>
      </c>
      <c r="E475" s="1">
        <v>46013.131284722222</v>
      </c>
      <c r="F475">
        <f>HotelSales[[#This Row],[Check_Out]]-HotelSales[[#This Row],[Check_In]]</f>
        <v>6</v>
      </c>
      <c r="G475" t="s">
        <v>776</v>
      </c>
      <c r="H475" t="s">
        <v>778</v>
      </c>
      <c r="I475" t="s">
        <v>779</v>
      </c>
      <c r="J475">
        <v>2</v>
      </c>
      <c r="K475">
        <v>19000</v>
      </c>
      <c r="L475">
        <f>HotelSales[[#This Row],[Stay_Nights]]*HotelSales[[#This Row],[Room_Rate]]</f>
        <v>114000</v>
      </c>
      <c r="M475">
        <v>6500</v>
      </c>
      <c r="N475">
        <f>HotelSales[[#This Row],[Room_Revenue]]+HotelSales[[#This Row],[Restaurant_Spend]]</f>
        <v>120500</v>
      </c>
      <c r="O475" t="s">
        <v>785</v>
      </c>
    </row>
    <row r="476" spans="1:15">
      <c r="A476" t="s">
        <v>486</v>
      </c>
      <c r="B476" t="s">
        <v>616</v>
      </c>
      <c r="C476" s="2">
        <v>45988.228101851862</v>
      </c>
      <c r="D476" s="1">
        <v>46005.228101851862</v>
      </c>
      <c r="E476" s="1">
        <v>46008.228101851862</v>
      </c>
      <c r="F476">
        <f>HotelSales[[#This Row],[Check_Out]]-HotelSales[[#This Row],[Check_In]]</f>
        <v>3</v>
      </c>
      <c r="G476" t="s">
        <v>775</v>
      </c>
      <c r="H476" t="s">
        <v>778</v>
      </c>
      <c r="I476" t="s">
        <v>780</v>
      </c>
      <c r="J476">
        <v>1</v>
      </c>
      <c r="K476">
        <v>13000</v>
      </c>
      <c r="L476">
        <f>HotelSales[[#This Row],[Stay_Nights]]*HotelSales[[#This Row],[Room_Rate]]</f>
        <v>39000</v>
      </c>
      <c r="M476">
        <v>9000</v>
      </c>
      <c r="N476">
        <f>HotelSales[[#This Row],[Room_Revenue]]+HotelSales[[#This Row],[Restaurant_Spend]]</f>
        <v>48000</v>
      </c>
      <c r="O476" t="s">
        <v>783</v>
      </c>
    </row>
    <row r="477" spans="1:15">
      <c r="A477" t="s">
        <v>487</v>
      </c>
      <c r="B477" t="s">
        <v>722</v>
      </c>
      <c r="C477" s="2">
        <v>45988.490231481483</v>
      </c>
      <c r="D477" s="1">
        <v>46016.490231481483</v>
      </c>
      <c r="E477" s="1">
        <v>46019.490231481483</v>
      </c>
      <c r="F477">
        <f>HotelSales[[#This Row],[Check_Out]]-HotelSales[[#This Row],[Check_In]]</f>
        <v>3</v>
      </c>
      <c r="G477" t="s">
        <v>776</v>
      </c>
      <c r="H477" t="s">
        <v>778</v>
      </c>
      <c r="I477" t="s">
        <v>780</v>
      </c>
      <c r="J477">
        <v>1</v>
      </c>
      <c r="K477">
        <v>17000</v>
      </c>
      <c r="L477">
        <f>HotelSales[[#This Row],[Stay_Nights]]*HotelSales[[#This Row],[Room_Rate]]</f>
        <v>51000</v>
      </c>
      <c r="M477">
        <v>9000</v>
      </c>
      <c r="N477">
        <f>HotelSales[[#This Row],[Room_Revenue]]+HotelSales[[#This Row],[Restaurant_Spend]]</f>
        <v>60000</v>
      </c>
      <c r="O477" t="s">
        <v>783</v>
      </c>
    </row>
    <row r="478" spans="1:15">
      <c r="A478" t="s">
        <v>488</v>
      </c>
      <c r="B478" t="s">
        <v>528</v>
      </c>
      <c r="C478" s="2">
        <v>45989.347094907411</v>
      </c>
      <c r="D478" s="1">
        <v>46004.347094907411</v>
      </c>
      <c r="E478" s="1">
        <v>46010.347094907411</v>
      </c>
      <c r="F478">
        <f>HotelSales[[#This Row],[Check_Out]]-HotelSales[[#This Row],[Check_In]]</f>
        <v>6</v>
      </c>
      <c r="G478" t="s">
        <v>775</v>
      </c>
      <c r="H478" t="s">
        <v>777</v>
      </c>
      <c r="I478" t="s">
        <v>781</v>
      </c>
      <c r="J478">
        <v>3</v>
      </c>
      <c r="K478">
        <v>12000</v>
      </c>
      <c r="L478">
        <f>HotelSales[[#This Row],[Stay_Nights]]*HotelSales[[#This Row],[Room_Rate]]</f>
        <v>72000</v>
      </c>
      <c r="M478">
        <v>4000</v>
      </c>
      <c r="N478">
        <f>HotelSales[[#This Row],[Room_Revenue]]+HotelSales[[#This Row],[Restaurant_Spend]]</f>
        <v>76000</v>
      </c>
      <c r="O478" t="s">
        <v>783</v>
      </c>
    </row>
    <row r="479" spans="1:15">
      <c r="A479" t="s">
        <v>489</v>
      </c>
      <c r="B479" t="s">
        <v>721</v>
      </c>
      <c r="C479" s="2">
        <v>45990.506493055553</v>
      </c>
      <c r="D479" s="1">
        <v>45996.506493055553</v>
      </c>
      <c r="E479" s="1">
        <v>45998.506493055553</v>
      </c>
      <c r="F479">
        <f>HotelSales[[#This Row],[Check_Out]]-HotelSales[[#This Row],[Check_In]]</f>
        <v>2</v>
      </c>
      <c r="G479" t="s">
        <v>776</v>
      </c>
      <c r="H479" t="s">
        <v>778</v>
      </c>
      <c r="I479" t="s">
        <v>781</v>
      </c>
      <c r="J479">
        <v>2</v>
      </c>
      <c r="K479">
        <v>18000</v>
      </c>
      <c r="L479">
        <f>HotelSales[[#This Row],[Stay_Nights]]*HotelSales[[#This Row],[Room_Rate]]</f>
        <v>36000</v>
      </c>
      <c r="M479">
        <v>500</v>
      </c>
      <c r="N479">
        <f>HotelSales[[#This Row],[Room_Revenue]]+HotelSales[[#This Row],[Restaurant_Spend]]</f>
        <v>36500</v>
      </c>
      <c r="O479" t="s">
        <v>786</v>
      </c>
    </row>
    <row r="480" spans="1:15">
      <c r="A480" t="s">
        <v>490</v>
      </c>
      <c r="B480" t="s">
        <v>634</v>
      </c>
      <c r="C480" s="2">
        <v>45990.730243055557</v>
      </c>
      <c r="D480" s="1">
        <v>46014.730243055557</v>
      </c>
      <c r="E480" s="1">
        <v>46017.730243055557</v>
      </c>
      <c r="F480">
        <f>HotelSales[[#This Row],[Check_Out]]-HotelSales[[#This Row],[Check_In]]</f>
        <v>3</v>
      </c>
      <c r="G480" t="s">
        <v>774</v>
      </c>
      <c r="H480" t="s">
        <v>777</v>
      </c>
      <c r="I480" t="s">
        <v>779</v>
      </c>
      <c r="J480">
        <v>3</v>
      </c>
      <c r="K480">
        <v>30000</v>
      </c>
      <c r="L480">
        <f>HotelSales[[#This Row],[Stay_Nights]]*HotelSales[[#This Row],[Room_Rate]]</f>
        <v>90000</v>
      </c>
      <c r="M480">
        <v>3000</v>
      </c>
      <c r="N480">
        <f>HotelSales[[#This Row],[Room_Revenue]]+HotelSales[[#This Row],[Restaurant_Spend]]</f>
        <v>93000</v>
      </c>
      <c r="O480" t="s">
        <v>784</v>
      </c>
    </row>
    <row r="481" spans="1:15">
      <c r="A481" t="s">
        <v>491</v>
      </c>
      <c r="B481" t="s">
        <v>697</v>
      </c>
      <c r="C481" s="2">
        <v>45991.547638888893</v>
      </c>
      <c r="D481" s="1">
        <v>46007.547638888893</v>
      </c>
      <c r="E481" s="1">
        <v>46012.547638888893</v>
      </c>
      <c r="F481">
        <f>HotelSales[[#This Row],[Check_Out]]-HotelSales[[#This Row],[Check_In]]</f>
        <v>5</v>
      </c>
      <c r="G481" t="s">
        <v>775</v>
      </c>
      <c r="H481" t="s">
        <v>777</v>
      </c>
      <c r="I481" t="s">
        <v>780</v>
      </c>
      <c r="J481">
        <v>4</v>
      </c>
      <c r="K481">
        <v>13000</v>
      </c>
      <c r="L481">
        <f>HotelSales[[#This Row],[Stay_Nights]]*HotelSales[[#This Row],[Room_Rate]]</f>
        <v>65000</v>
      </c>
      <c r="M481">
        <v>2500</v>
      </c>
      <c r="N481">
        <f>HotelSales[[#This Row],[Room_Revenue]]+HotelSales[[#This Row],[Restaurant_Spend]]</f>
        <v>67500</v>
      </c>
      <c r="O481" t="s">
        <v>787</v>
      </c>
    </row>
    <row r="482" spans="1:15">
      <c r="A482" t="s">
        <v>492</v>
      </c>
      <c r="B482" t="s">
        <v>768</v>
      </c>
      <c r="C482" s="2">
        <v>45991.690787037027</v>
      </c>
      <c r="D482" s="1">
        <v>46019.690787037027</v>
      </c>
      <c r="E482" s="1">
        <v>46022.690787037027</v>
      </c>
      <c r="F482">
        <f>HotelSales[[#This Row],[Check_Out]]-HotelSales[[#This Row],[Check_In]]</f>
        <v>3</v>
      </c>
      <c r="G482" t="s">
        <v>776</v>
      </c>
      <c r="H482" t="s">
        <v>778</v>
      </c>
      <c r="I482" t="s">
        <v>779</v>
      </c>
      <c r="J482">
        <v>2</v>
      </c>
      <c r="K482">
        <v>19000</v>
      </c>
      <c r="L482">
        <f>HotelSales[[#This Row],[Stay_Nights]]*HotelSales[[#This Row],[Room_Rate]]</f>
        <v>57000</v>
      </c>
      <c r="M482">
        <v>7500</v>
      </c>
      <c r="N482">
        <f>HotelSales[[#This Row],[Room_Revenue]]+HotelSales[[#This Row],[Restaurant_Spend]]</f>
        <v>64500</v>
      </c>
      <c r="O482" t="s">
        <v>784</v>
      </c>
    </row>
    <row r="483" spans="1:15">
      <c r="A483" t="s">
        <v>493</v>
      </c>
      <c r="B483" t="s">
        <v>769</v>
      </c>
      <c r="C483" s="2">
        <v>45992.657719907409</v>
      </c>
      <c r="D483" s="1">
        <v>46018.657719907409</v>
      </c>
      <c r="E483" s="1">
        <v>46023.657719907409</v>
      </c>
      <c r="F483">
        <f>HotelSales[[#This Row],[Check_Out]]-HotelSales[[#This Row],[Check_In]]</f>
        <v>5</v>
      </c>
      <c r="G483" t="s">
        <v>776</v>
      </c>
      <c r="H483" t="s">
        <v>778</v>
      </c>
      <c r="I483" t="s">
        <v>781</v>
      </c>
      <c r="J483">
        <v>2</v>
      </c>
      <c r="K483">
        <v>18000</v>
      </c>
      <c r="L483">
        <f>HotelSales[[#This Row],[Stay_Nights]]*HotelSales[[#This Row],[Room_Rate]]</f>
        <v>90000</v>
      </c>
      <c r="M483">
        <v>12000</v>
      </c>
      <c r="N483">
        <f>HotelSales[[#This Row],[Room_Revenue]]+HotelSales[[#This Row],[Restaurant_Spend]]</f>
        <v>102000</v>
      </c>
      <c r="O483" t="s">
        <v>783</v>
      </c>
    </row>
    <row r="484" spans="1:15">
      <c r="A484" t="s">
        <v>494</v>
      </c>
      <c r="B484" t="s">
        <v>763</v>
      </c>
      <c r="C484" s="2">
        <v>45994.269456018519</v>
      </c>
      <c r="D484" s="1">
        <v>46007.269456018519</v>
      </c>
      <c r="E484" s="1">
        <v>46010.269456018519</v>
      </c>
      <c r="F484">
        <f>HotelSales[[#This Row],[Check_Out]]-HotelSales[[#This Row],[Check_In]]</f>
        <v>3</v>
      </c>
      <c r="G484" t="s">
        <v>775</v>
      </c>
      <c r="H484" t="s">
        <v>778</v>
      </c>
      <c r="I484" t="s">
        <v>779</v>
      </c>
      <c r="J484">
        <v>2</v>
      </c>
      <c r="K484">
        <v>13000</v>
      </c>
      <c r="L484">
        <f>HotelSales[[#This Row],[Stay_Nights]]*HotelSales[[#This Row],[Room_Rate]]</f>
        <v>39000</v>
      </c>
      <c r="M484">
        <v>9000</v>
      </c>
      <c r="N484">
        <f>HotelSales[[#This Row],[Room_Revenue]]+HotelSales[[#This Row],[Restaurant_Spend]]</f>
        <v>48000</v>
      </c>
      <c r="O484" t="s">
        <v>787</v>
      </c>
    </row>
    <row r="485" spans="1:15">
      <c r="A485" t="s">
        <v>495</v>
      </c>
      <c r="B485" t="s">
        <v>632</v>
      </c>
      <c r="C485" s="2">
        <v>45995.968194444453</v>
      </c>
      <c r="D485" s="1">
        <v>46013.968194444453</v>
      </c>
      <c r="E485" s="1">
        <v>46016.968194444453</v>
      </c>
      <c r="F485">
        <f>HotelSales[[#This Row],[Check_Out]]-HotelSales[[#This Row],[Check_In]]</f>
        <v>3</v>
      </c>
      <c r="G485" t="s">
        <v>775</v>
      </c>
      <c r="H485" t="s">
        <v>778</v>
      </c>
      <c r="I485" t="s">
        <v>779</v>
      </c>
      <c r="J485">
        <v>3</v>
      </c>
      <c r="K485">
        <v>11000</v>
      </c>
      <c r="L485">
        <f>HotelSales[[#This Row],[Stay_Nights]]*HotelSales[[#This Row],[Room_Rate]]</f>
        <v>33000</v>
      </c>
      <c r="M485">
        <v>11000</v>
      </c>
      <c r="N485">
        <f>HotelSales[[#This Row],[Room_Revenue]]+HotelSales[[#This Row],[Restaurant_Spend]]</f>
        <v>44000</v>
      </c>
      <c r="O485" t="s">
        <v>786</v>
      </c>
    </row>
    <row r="486" spans="1:15">
      <c r="A486" t="s">
        <v>496</v>
      </c>
      <c r="B486" t="s">
        <v>770</v>
      </c>
      <c r="C486" s="2">
        <v>45996.307685185187</v>
      </c>
      <c r="D486" s="1">
        <v>46010.307685185187</v>
      </c>
      <c r="E486" s="1">
        <v>46012.307685185187</v>
      </c>
      <c r="F486">
        <f>HotelSales[[#This Row],[Check_Out]]-HotelSales[[#This Row],[Check_In]]</f>
        <v>2</v>
      </c>
      <c r="G486" t="s">
        <v>775</v>
      </c>
      <c r="H486" t="s">
        <v>777</v>
      </c>
      <c r="I486" t="s">
        <v>779</v>
      </c>
      <c r="J486">
        <v>2</v>
      </c>
      <c r="K486">
        <v>13000</v>
      </c>
      <c r="L486">
        <f>HotelSales[[#This Row],[Stay_Nights]]*HotelSales[[#This Row],[Room_Rate]]</f>
        <v>26000</v>
      </c>
      <c r="M486">
        <v>1500</v>
      </c>
      <c r="N486">
        <f>HotelSales[[#This Row],[Room_Revenue]]+HotelSales[[#This Row],[Restaurant_Spend]]</f>
        <v>27500</v>
      </c>
      <c r="O486" t="s">
        <v>785</v>
      </c>
    </row>
    <row r="487" spans="1:15">
      <c r="A487" t="s">
        <v>497</v>
      </c>
      <c r="B487" t="s">
        <v>575</v>
      </c>
      <c r="C487" s="2">
        <v>45996.522199074083</v>
      </c>
      <c r="D487" s="1">
        <v>46005.522199074083</v>
      </c>
      <c r="E487" s="1">
        <v>46006.522199074083</v>
      </c>
      <c r="F487">
        <f>HotelSales[[#This Row],[Check_Out]]-HotelSales[[#This Row],[Check_In]]</f>
        <v>1</v>
      </c>
      <c r="G487" t="s">
        <v>776</v>
      </c>
      <c r="H487" t="s">
        <v>777</v>
      </c>
      <c r="I487" t="s">
        <v>781</v>
      </c>
      <c r="J487">
        <v>3</v>
      </c>
      <c r="K487">
        <v>17000</v>
      </c>
      <c r="L487">
        <f>HotelSales[[#This Row],[Stay_Nights]]*HotelSales[[#This Row],[Room_Rate]]</f>
        <v>17000</v>
      </c>
      <c r="M487">
        <v>0</v>
      </c>
      <c r="N487">
        <f>HotelSales[[#This Row],[Room_Revenue]]+HotelSales[[#This Row],[Restaurant_Spend]]</f>
        <v>17000</v>
      </c>
      <c r="O487" t="s">
        <v>784</v>
      </c>
    </row>
    <row r="488" spans="1:15">
      <c r="A488" t="s">
        <v>498</v>
      </c>
      <c r="B488" t="s">
        <v>618</v>
      </c>
      <c r="C488" s="2">
        <v>45996.707476851851</v>
      </c>
      <c r="D488" s="1">
        <v>46001.707476851851</v>
      </c>
      <c r="E488" s="1">
        <v>46003.707476851851</v>
      </c>
      <c r="F488">
        <f>HotelSales[[#This Row],[Check_Out]]-HotelSales[[#This Row],[Check_In]]</f>
        <v>2</v>
      </c>
      <c r="G488" t="s">
        <v>775</v>
      </c>
      <c r="H488" t="s">
        <v>778</v>
      </c>
      <c r="I488" t="s">
        <v>779</v>
      </c>
      <c r="J488">
        <v>2</v>
      </c>
      <c r="K488">
        <v>12000</v>
      </c>
      <c r="L488">
        <f>HotelSales[[#This Row],[Stay_Nights]]*HotelSales[[#This Row],[Room_Rate]]</f>
        <v>24000</v>
      </c>
      <c r="M488">
        <v>2000</v>
      </c>
      <c r="N488">
        <f>HotelSales[[#This Row],[Room_Revenue]]+HotelSales[[#This Row],[Restaurant_Spend]]</f>
        <v>26000</v>
      </c>
      <c r="O488" t="s">
        <v>784</v>
      </c>
    </row>
    <row r="489" spans="1:15">
      <c r="A489" t="s">
        <v>499</v>
      </c>
      <c r="B489" t="s">
        <v>644</v>
      </c>
      <c r="C489" s="2">
        <v>45997.424293981479</v>
      </c>
      <c r="D489" s="1">
        <v>46015.424293981479</v>
      </c>
      <c r="E489" s="1">
        <v>46020.424293981479</v>
      </c>
      <c r="F489">
        <f>HotelSales[[#This Row],[Check_Out]]-HotelSales[[#This Row],[Check_In]]</f>
        <v>5</v>
      </c>
      <c r="G489" t="s">
        <v>775</v>
      </c>
      <c r="H489" t="s">
        <v>778</v>
      </c>
      <c r="I489" t="s">
        <v>780</v>
      </c>
      <c r="J489">
        <v>2</v>
      </c>
      <c r="K489">
        <v>11000</v>
      </c>
      <c r="L489">
        <f>HotelSales[[#This Row],[Stay_Nights]]*HotelSales[[#This Row],[Room_Rate]]</f>
        <v>55000</v>
      </c>
      <c r="M489">
        <v>3500</v>
      </c>
      <c r="N489">
        <f>HotelSales[[#This Row],[Room_Revenue]]+HotelSales[[#This Row],[Restaurant_Spend]]</f>
        <v>58500</v>
      </c>
      <c r="O489" t="s">
        <v>784</v>
      </c>
    </row>
    <row r="490" spans="1:15">
      <c r="A490" t="s">
        <v>500</v>
      </c>
      <c r="B490" t="s">
        <v>771</v>
      </c>
      <c r="C490" s="2">
        <v>45997.879791666674</v>
      </c>
      <c r="D490" s="1">
        <v>46017.879791666674</v>
      </c>
      <c r="E490" s="1">
        <v>46018.879791666674</v>
      </c>
      <c r="F490">
        <f>HotelSales[[#This Row],[Check_Out]]-HotelSales[[#This Row],[Check_In]]</f>
        <v>1</v>
      </c>
      <c r="G490" t="s">
        <v>775</v>
      </c>
      <c r="H490" t="s">
        <v>778</v>
      </c>
      <c r="I490" t="s">
        <v>780</v>
      </c>
      <c r="J490">
        <v>2</v>
      </c>
      <c r="K490">
        <v>11000</v>
      </c>
      <c r="L490">
        <f>HotelSales[[#This Row],[Stay_Nights]]*HotelSales[[#This Row],[Room_Rate]]</f>
        <v>11000</v>
      </c>
      <c r="M490">
        <v>15500</v>
      </c>
      <c r="N490">
        <f>HotelSales[[#This Row],[Room_Revenue]]+HotelSales[[#This Row],[Restaurant_Spend]]</f>
        <v>26500</v>
      </c>
      <c r="O490" t="s">
        <v>782</v>
      </c>
    </row>
    <row r="491" spans="1:15">
      <c r="A491" t="s">
        <v>501</v>
      </c>
      <c r="B491" t="s">
        <v>772</v>
      </c>
      <c r="C491" s="2">
        <v>45997.896724537037</v>
      </c>
      <c r="D491" s="1">
        <v>46017.896724537037</v>
      </c>
      <c r="E491" s="1">
        <v>46021.896724537037</v>
      </c>
      <c r="F491">
        <f>HotelSales[[#This Row],[Check_Out]]-HotelSales[[#This Row],[Check_In]]</f>
        <v>4</v>
      </c>
      <c r="G491" t="s">
        <v>775</v>
      </c>
      <c r="H491" t="s">
        <v>777</v>
      </c>
      <c r="I491" t="s">
        <v>780</v>
      </c>
      <c r="J491">
        <v>1</v>
      </c>
      <c r="K491">
        <v>12000</v>
      </c>
      <c r="L491">
        <f>HotelSales[[#This Row],[Stay_Nights]]*HotelSales[[#This Row],[Room_Rate]]</f>
        <v>48000</v>
      </c>
      <c r="M491">
        <v>11500</v>
      </c>
      <c r="N491">
        <f>HotelSales[[#This Row],[Room_Revenue]]+HotelSales[[#This Row],[Restaurant_Spend]]</f>
        <v>59500</v>
      </c>
      <c r="O491" t="s">
        <v>785</v>
      </c>
    </row>
    <row r="492" spans="1:15">
      <c r="A492" t="s">
        <v>502</v>
      </c>
      <c r="B492" t="s">
        <v>773</v>
      </c>
      <c r="C492" s="2">
        <v>45998.527824074074</v>
      </c>
      <c r="D492" s="1">
        <v>46011.527824074074</v>
      </c>
      <c r="E492" s="1">
        <v>46015.527824074074</v>
      </c>
      <c r="F492">
        <f>HotelSales[[#This Row],[Check_Out]]-HotelSales[[#This Row],[Check_In]]</f>
        <v>4</v>
      </c>
      <c r="G492" t="s">
        <v>775</v>
      </c>
      <c r="H492" t="s">
        <v>778</v>
      </c>
      <c r="I492" t="s">
        <v>779</v>
      </c>
      <c r="J492">
        <v>4</v>
      </c>
      <c r="K492">
        <v>12000</v>
      </c>
      <c r="L492">
        <f>HotelSales[[#This Row],[Stay_Nights]]*HotelSales[[#This Row],[Room_Rate]]</f>
        <v>48000</v>
      </c>
      <c r="M492">
        <v>7500</v>
      </c>
      <c r="N492">
        <f>HotelSales[[#This Row],[Room_Revenue]]+HotelSales[[#This Row],[Restaurant_Spend]]</f>
        <v>55500</v>
      </c>
      <c r="O492" t="s">
        <v>784</v>
      </c>
    </row>
    <row r="493" spans="1:15">
      <c r="A493" t="s">
        <v>503</v>
      </c>
      <c r="B493" t="s">
        <v>621</v>
      </c>
      <c r="C493" s="2">
        <v>45998.678101851852</v>
      </c>
      <c r="D493" s="1">
        <v>46022.678101851852</v>
      </c>
      <c r="E493" s="1">
        <v>46025.678101851852</v>
      </c>
      <c r="F493">
        <f>HotelSales[[#This Row],[Check_Out]]-HotelSales[[#This Row],[Check_In]]</f>
        <v>3</v>
      </c>
      <c r="G493" t="s">
        <v>776</v>
      </c>
      <c r="H493" t="s">
        <v>778</v>
      </c>
      <c r="I493" t="s">
        <v>779</v>
      </c>
      <c r="J493">
        <v>1</v>
      </c>
      <c r="K493">
        <v>18000</v>
      </c>
      <c r="L493">
        <f>HotelSales[[#This Row],[Stay_Nights]]*HotelSales[[#This Row],[Room_Rate]]</f>
        <v>54000</v>
      </c>
      <c r="M493">
        <v>4000</v>
      </c>
      <c r="N493">
        <f>HotelSales[[#This Row],[Room_Revenue]]+HotelSales[[#This Row],[Restaurant_Spend]]</f>
        <v>58000</v>
      </c>
      <c r="O493" t="s">
        <v>783</v>
      </c>
    </row>
    <row r="494" spans="1:15">
      <c r="A494" t="s">
        <v>504</v>
      </c>
      <c r="B494" t="s">
        <v>634</v>
      </c>
      <c r="C494" s="2">
        <v>45999.077175925922</v>
      </c>
      <c r="D494" s="1">
        <v>46014.077175925922</v>
      </c>
      <c r="E494" s="1">
        <v>46019.077175925922</v>
      </c>
      <c r="F494">
        <f>HotelSales[[#This Row],[Check_Out]]-HotelSales[[#This Row],[Check_In]]</f>
        <v>5</v>
      </c>
      <c r="G494" t="s">
        <v>776</v>
      </c>
      <c r="H494" t="s">
        <v>778</v>
      </c>
      <c r="I494" t="s">
        <v>779</v>
      </c>
      <c r="J494">
        <v>4</v>
      </c>
      <c r="K494">
        <v>18000</v>
      </c>
      <c r="L494">
        <f>HotelSales[[#This Row],[Stay_Nights]]*HotelSales[[#This Row],[Room_Rate]]</f>
        <v>90000</v>
      </c>
      <c r="M494">
        <v>10000</v>
      </c>
      <c r="N494">
        <f>HotelSales[[#This Row],[Room_Revenue]]+HotelSales[[#This Row],[Restaurant_Spend]]</f>
        <v>100000</v>
      </c>
      <c r="O494" t="s">
        <v>782</v>
      </c>
    </row>
    <row r="495" spans="1:15">
      <c r="A495" t="s">
        <v>505</v>
      </c>
      <c r="B495" t="s">
        <v>553</v>
      </c>
      <c r="C495" s="2">
        <v>46001.783726851849</v>
      </c>
      <c r="D495" s="1">
        <v>46013.783726851849</v>
      </c>
      <c r="E495" s="1">
        <v>46019.783726851849</v>
      </c>
      <c r="F495">
        <f>HotelSales[[#This Row],[Check_Out]]-HotelSales[[#This Row],[Check_In]]</f>
        <v>6</v>
      </c>
      <c r="G495" t="s">
        <v>775</v>
      </c>
      <c r="H495" t="s">
        <v>777</v>
      </c>
      <c r="I495" t="s">
        <v>780</v>
      </c>
      <c r="J495">
        <v>1</v>
      </c>
      <c r="K495">
        <v>11000</v>
      </c>
      <c r="L495">
        <f>HotelSales[[#This Row],[Stay_Nights]]*HotelSales[[#This Row],[Room_Rate]]</f>
        <v>66000</v>
      </c>
      <c r="M495">
        <v>1500</v>
      </c>
      <c r="N495">
        <f>HotelSales[[#This Row],[Room_Revenue]]+HotelSales[[#This Row],[Restaurant_Spend]]</f>
        <v>67500</v>
      </c>
      <c r="O495" t="s">
        <v>785</v>
      </c>
    </row>
    <row r="496" spans="1:15">
      <c r="A496" t="s">
        <v>506</v>
      </c>
      <c r="B496" t="s">
        <v>606</v>
      </c>
      <c r="C496" s="2">
        <v>46003.211574074077</v>
      </c>
      <c r="D496" s="1">
        <v>46029.211574074077</v>
      </c>
      <c r="E496" s="1">
        <v>46032.211574074077</v>
      </c>
      <c r="F496">
        <f>HotelSales[[#This Row],[Check_Out]]-HotelSales[[#This Row],[Check_In]]</f>
        <v>3</v>
      </c>
      <c r="G496" t="s">
        <v>776</v>
      </c>
      <c r="H496" t="s">
        <v>777</v>
      </c>
      <c r="I496" t="s">
        <v>781</v>
      </c>
      <c r="J496">
        <v>1</v>
      </c>
      <c r="K496">
        <v>17000</v>
      </c>
      <c r="L496">
        <f>HotelSales[[#This Row],[Stay_Nights]]*HotelSales[[#This Row],[Room_Rate]]</f>
        <v>51000</v>
      </c>
      <c r="M496">
        <v>6000</v>
      </c>
      <c r="N496">
        <f>HotelSales[[#This Row],[Room_Revenue]]+HotelSales[[#This Row],[Restaurant_Spend]]</f>
        <v>57000</v>
      </c>
      <c r="O496" t="s">
        <v>784</v>
      </c>
    </row>
    <row r="497" spans="1:15">
      <c r="A497" t="s">
        <v>507</v>
      </c>
      <c r="B497" t="s">
        <v>744</v>
      </c>
      <c r="C497" s="2">
        <v>46004.0156712963</v>
      </c>
      <c r="D497" s="1">
        <v>46005.0156712963</v>
      </c>
      <c r="E497" s="1">
        <v>46009.0156712963</v>
      </c>
      <c r="F497">
        <f>HotelSales[[#This Row],[Check_Out]]-HotelSales[[#This Row],[Check_In]]</f>
        <v>4</v>
      </c>
      <c r="G497" t="s">
        <v>776</v>
      </c>
      <c r="H497" t="s">
        <v>777</v>
      </c>
      <c r="I497" t="s">
        <v>780</v>
      </c>
      <c r="J497">
        <v>3</v>
      </c>
      <c r="K497">
        <v>18000</v>
      </c>
      <c r="L497">
        <f>HotelSales[[#This Row],[Stay_Nights]]*HotelSales[[#This Row],[Room_Rate]]</f>
        <v>72000</v>
      </c>
      <c r="M497">
        <v>4000</v>
      </c>
      <c r="N497">
        <f>HotelSales[[#This Row],[Room_Revenue]]+HotelSales[[#This Row],[Restaurant_Spend]]</f>
        <v>76000</v>
      </c>
      <c r="O497" t="s">
        <v>783</v>
      </c>
    </row>
    <row r="498" spans="1:15">
      <c r="A498" t="s">
        <v>508</v>
      </c>
      <c r="B498" t="s">
        <v>635</v>
      </c>
      <c r="C498" s="2">
        <v>46004.456284722219</v>
      </c>
      <c r="D498" s="1">
        <v>46007.456284722219</v>
      </c>
      <c r="E498" s="1">
        <v>46009.456284722219</v>
      </c>
      <c r="F498">
        <f>HotelSales[[#This Row],[Check_Out]]-HotelSales[[#This Row],[Check_In]]</f>
        <v>2</v>
      </c>
      <c r="G498" t="s">
        <v>775</v>
      </c>
      <c r="H498" t="s">
        <v>778</v>
      </c>
      <c r="I498" t="s">
        <v>781</v>
      </c>
      <c r="J498">
        <v>4</v>
      </c>
      <c r="K498">
        <v>12000</v>
      </c>
      <c r="L498">
        <f>HotelSales[[#This Row],[Stay_Nights]]*HotelSales[[#This Row],[Room_Rate]]</f>
        <v>24000</v>
      </c>
      <c r="M498">
        <v>5500</v>
      </c>
      <c r="N498">
        <f>HotelSales[[#This Row],[Room_Revenue]]+HotelSales[[#This Row],[Restaurant_Spend]]</f>
        <v>29500</v>
      </c>
      <c r="O498" t="s">
        <v>782</v>
      </c>
    </row>
    <row r="499" spans="1:15">
      <c r="A499" t="s">
        <v>509</v>
      </c>
      <c r="B499" t="s">
        <v>620</v>
      </c>
      <c r="C499" s="2">
        <v>46004.941874999997</v>
      </c>
      <c r="D499" s="1">
        <v>46006.941874999997</v>
      </c>
      <c r="E499" s="1">
        <v>46009.941874999997</v>
      </c>
      <c r="F499">
        <f>HotelSales[[#This Row],[Check_Out]]-HotelSales[[#This Row],[Check_In]]</f>
        <v>3</v>
      </c>
      <c r="G499" t="s">
        <v>776</v>
      </c>
      <c r="H499" t="s">
        <v>777</v>
      </c>
      <c r="I499" t="s">
        <v>779</v>
      </c>
      <c r="J499">
        <v>1</v>
      </c>
      <c r="K499">
        <v>17000</v>
      </c>
      <c r="L499">
        <f>HotelSales[[#This Row],[Stay_Nights]]*HotelSales[[#This Row],[Room_Rate]]</f>
        <v>51000</v>
      </c>
      <c r="M499">
        <v>12000</v>
      </c>
      <c r="N499">
        <f>HotelSales[[#This Row],[Room_Revenue]]+HotelSales[[#This Row],[Restaurant_Spend]]</f>
        <v>63000</v>
      </c>
      <c r="O499" t="s">
        <v>785</v>
      </c>
    </row>
    <row r="500" spans="1:15">
      <c r="A500" t="s">
        <v>510</v>
      </c>
      <c r="B500" t="s">
        <v>730</v>
      </c>
      <c r="C500" s="2">
        <v>46005.68173611111</v>
      </c>
      <c r="D500" s="1">
        <v>46016.68173611111</v>
      </c>
      <c r="E500" s="1">
        <v>46020.68173611111</v>
      </c>
      <c r="F500">
        <f>HotelSales[[#This Row],[Check_Out]]-HotelSales[[#This Row],[Check_In]]</f>
        <v>4</v>
      </c>
      <c r="G500" t="s">
        <v>774</v>
      </c>
      <c r="H500" t="s">
        <v>778</v>
      </c>
      <c r="I500" t="s">
        <v>780</v>
      </c>
      <c r="J500">
        <v>3</v>
      </c>
      <c r="K500">
        <v>30000</v>
      </c>
      <c r="L500">
        <f>HotelSales[[#This Row],[Stay_Nights]]*HotelSales[[#This Row],[Room_Rate]]</f>
        <v>120000</v>
      </c>
      <c r="M500">
        <v>9000</v>
      </c>
      <c r="N500">
        <f>HotelSales[[#This Row],[Room_Revenue]]+HotelSales[[#This Row],[Restaurant_Spend]]</f>
        <v>129000</v>
      </c>
      <c r="O500" t="s">
        <v>784</v>
      </c>
    </row>
    <row r="501" spans="1:15">
      <c r="A501" t="s">
        <v>511</v>
      </c>
      <c r="B501" t="s">
        <v>541</v>
      </c>
      <c r="C501" s="2">
        <v>46005.928599537037</v>
      </c>
      <c r="D501" s="1">
        <v>46031.928599537037</v>
      </c>
      <c r="E501" s="1">
        <v>46033.928599537037</v>
      </c>
      <c r="F501">
        <f>HotelSales[[#This Row],[Check_Out]]-HotelSales[[#This Row],[Check_In]]</f>
        <v>2</v>
      </c>
      <c r="G501" t="s">
        <v>775</v>
      </c>
      <c r="H501" t="s">
        <v>777</v>
      </c>
      <c r="I501" t="s">
        <v>781</v>
      </c>
      <c r="J501">
        <v>2</v>
      </c>
      <c r="K501">
        <v>12000</v>
      </c>
      <c r="L501">
        <f>HotelSales[[#This Row],[Stay_Nights]]*HotelSales[[#This Row],[Room_Rate]]</f>
        <v>24000</v>
      </c>
      <c r="M501">
        <v>6000</v>
      </c>
      <c r="N501">
        <f>HotelSales[[#This Row],[Room_Revenue]]+HotelSales[[#This Row],[Restaurant_Spend]]</f>
        <v>30000</v>
      </c>
      <c r="O501" t="s">
        <v>787</v>
      </c>
    </row>
    <row r="503" spans="1:15">
      <c r="L503">
        <f>MIN(HotelSales[Room_Revenue])</f>
        <v>11000</v>
      </c>
      <c r="N503">
        <f>MIN(HotelSales[Total_Revenue])</f>
        <v>11000</v>
      </c>
    </row>
    <row r="504" spans="1:15">
      <c r="F504">
        <f>MIN(HotelSales[Stay_Nights])</f>
        <v>1</v>
      </c>
      <c r="L504">
        <f>MAX(HotelSales[Room_Revenue])</f>
        <v>217000</v>
      </c>
      <c r="N504">
        <f>MAX(HotelSales[Total_Revenue])</f>
        <v>230500</v>
      </c>
    </row>
    <row r="505" spans="1:15">
      <c r="F505">
        <f>MAX(HotelSales[Stay_Nights])</f>
        <v>7</v>
      </c>
    </row>
  </sheetData>
  <phoneticPr fontId="2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CD980-346B-483D-89F7-3C376575DB5E}">
  <sheetPr>
    <tabColor theme="8" tint="-0.249977111117893"/>
  </sheetPr>
  <dimension ref="B2:C16"/>
  <sheetViews>
    <sheetView workbookViewId="0">
      <selection activeCell="B2" sqref="B2"/>
    </sheetView>
  </sheetViews>
  <sheetFormatPr defaultRowHeight="13"/>
  <cols>
    <col min="2" max="2" width="33.54296875" customWidth="1"/>
    <col min="3" max="3" width="58.54296875" customWidth="1"/>
  </cols>
  <sheetData>
    <row r="2" spans="2:3" ht="36" customHeight="1">
      <c r="B2" s="9" t="s">
        <v>824</v>
      </c>
      <c r="C2" s="9" t="s">
        <v>825</v>
      </c>
    </row>
    <row r="3" spans="2:3" ht="20" customHeight="1">
      <c r="B3" s="8" t="s">
        <v>826</v>
      </c>
      <c r="C3" s="8">
        <f>COUNTA(HotelSales[Booking_ID])</f>
        <v>500</v>
      </c>
    </row>
    <row r="4" spans="2:3" ht="20" customHeight="1">
      <c r="B4" s="8" t="s">
        <v>827</v>
      </c>
      <c r="C4" s="14">
        <f>SUM(HotelSales[Total_Revenue])</f>
        <v>33998000</v>
      </c>
    </row>
    <row r="5" spans="2:3" ht="20" customHeight="1">
      <c r="B5" s="8" t="s">
        <v>828</v>
      </c>
      <c r="C5" s="14">
        <f>AVERAGE(HotelSales[Total_Revenue])</f>
        <v>67996</v>
      </c>
    </row>
    <row r="6" spans="2:3" ht="20" customHeight="1">
      <c r="B6" s="8" t="s">
        <v>829</v>
      </c>
      <c r="C6" s="8" t="str">
        <f>INDEX('Monthly revenue'!A4:A15,MATCH(MAX('Monthly revenue'!B4:B15),'Monthly revenue'!B4:B15,0))</f>
        <v>1月</v>
      </c>
    </row>
    <row r="7" spans="2:3" ht="20" customHeight="1">
      <c r="B7" s="8" t="s">
        <v>830</v>
      </c>
      <c r="C7" s="8">
        <f>INDEX('Monthly revenue'!A4:A15,MATCH(MIN('Monthly revenue'!B4:B15),'Monthly revenue'!B4:B15,0))</f>
        <v>45659.366122685184</v>
      </c>
    </row>
    <row r="11" spans="2:3" ht="25.5" customHeight="1">
      <c r="B11" s="15" t="s">
        <v>831</v>
      </c>
      <c r="C11" s="16"/>
    </row>
    <row r="12" spans="2:3" ht="55.5" customHeight="1">
      <c r="B12" s="12" t="s">
        <v>823</v>
      </c>
      <c r="C12" s="10" t="s">
        <v>839</v>
      </c>
    </row>
    <row r="13" spans="2:3" ht="55.5" customHeight="1">
      <c r="B13" s="12" t="s">
        <v>832</v>
      </c>
      <c r="C13" s="10" t="s">
        <v>840</v>
      </c>
    </row>
    <row r="14" spans="2:3" ht="55.5" customHeight="1">
      <c r="B14" s="12" t="s">
        <v>833</v>
      </c>
      <c r="C14" s="10" t="s">
        <v>834</v>
      </c>
    </row>
    <row r="15" spans="2:3" ht="55.5" customHeight="1">
      <c r="B15" s="12" t="s">
        <v>835</v>
      </c>
      <c r="C15" s="10" t="s">
        <v>836</v>
      </c>
    </row>
    <row r="16" spans="2:3" ht="55.5" customHeight="1">
      <c r="B16" s="13" t="s">
        <v>837</v>
      </c>
      <c r="C16" s="11" t="s">
        <v>838</v>
      </c>
    </row>
  </sheetData>
  <mergeCells count="1">
    <mergeCell ref="B11:C11"/>
  </mergeCells>
  <phoneticPr fontId="2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A822-23A0-4974-A8C9-4BB9D3313A52}">
  <dimension ref="A1:B7"/>
  <sheetViews>
    <sheetView workbookViewId="0">
      <selection activeCell="C3" sqref="C3"/>
    </sheetView>
  </sheetViews>
  <sheetFormatPr defaultRowHeight="13"/>
  <cols>
    <col min="1" max="1" width="11.26953125" bestFit="1" customWidth="1"/>
    <col min="2" max="2" width="22.1796875" bestFit="1" customWidth="1"/>
    <col min="3" max="3" width="21.81640625" customWidth="1"/>
    <col min="4" max="4" width="8.90625" bestFit="1" customWidth="1"/>
    <col min="5" max="5" width="10" bestFit="1" customWidth="1"/>
  </cols>
  <sheetData>
    <row r="1" spans="1:2">
      <c r="A1" t="s">
        <v>811</v>
      </c>
    </row>
    <row r="3" spans="1:2">
      <c r="A3" s="5" t="s">
        <v>793</v>
      </c>
      <c r="B3" t="s">
        <v>792</v>
      </c>
    </row>
    <row r="4" spans="1:2">
      <c r="A4" s="6" t="s">
        <v>776</v>
      </c>
      <c r="B4" s="17">
        <v>12852500</v>
      </c>
    </row>
    <row r="5" spans="1:2">
      <c r="A5" s="6" t="s">
        <v>775</v>
      </c>
      <c r="B5" s="17">
        <v>12376000</v>
      </c>
    </row>
    <row r="6" spans="1:2">
      <c r="A6" s="6" t="s">
        <v>774</v>
      </c>
      <c r="B6" s="17">
        <v>8769500</v>
      </c>
    </row>
    <row r="7" spans="1:2">
      <c r="A7" s="6" t="s">
        <v>791</v>
      </c>
      <c r="B7" s="17">
        <v>33998000</v>
      </c>
    </row>
  </sheetData>
  <phoneticPr fontId="2"/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DB5E-30C5-4912-875B-4FBFD133CA41}">
  <dimension ref="A1:B7"/>
  <sheetViews>
    <sheetView workbookViewId="0">
      <selection activeCell="A6" sqref="A6"/>
    </sheetView>
  </sheetViews>
  <sheetFormatPr defaultRowHeight="13"/>
  <cols>
    <col min="1" max="1" width="11.26953125" bestFit="1" customWidth="1"/>
    <col min="2" max="2" width="18.453125" bestFit="1" customWidth="1"/>
  </cols>
  <sheetData>
    <row r="1" spans="1:2">
      <c r="A1" t="s">
        <v>812</v>
      </c>
    </row>
    <row r="3" spans="1:2">
      <c r="A3" s="5" t="s">
        <v>793</v>
      </c>
      <c r="B3" t="s">
        <v>794</v>
      </c>
    </row>
    <row r="4" spans="1:2">
      <c r="A4" s="6" t="s">
        <v>776</v>
      </c>
      <c r="B4" s="17">
        <v>178</v>
      </c>
    </row>
    <row r="5" spans="1:2">
      <c r="A5" s="6" t="s">
        <v>775</v>
      </c>
      <c r="B5" s="17">
        <v>249</v>
      </c>
    </row>
    <row r="6" spans="1:2">
      <c r="A6" s="6" t="s">
        <v>774</v>
      </c>
      <c r="B6" s="17">
        <v>73</v>
      </c>
    </row>
    <row r="7" spans="1:2">
      <c r="A7" s="6" t="s">
        <v>791</v>
      </c>
      <c r="B7" s="17">
        <v>500</v>
      </c>
    </row>
  </sheetData>
  <phoneticPr fontId="2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1EB75-630F-42FF-B858-ADBE8A441948}">
  <dimension ref="A1:B7"/>
  <sheetViews>
    <sheetView workbookViewId="0">
      <selection activeCell="F17" sqref="F17"/>
    </sheetView>
  </sheetViews>
  <sheetFormatPr defaultRowHeight="13"/>
  <cols>
    <col min="1" max="1" width="11.26953125" bestFit="1" customWidth="1"/>
    <col min="2" max="2" width="22.1796875" bestFit="1" customWidth="1"/>
  </cols>
  <sheetData>
    <row r="1" spans="1:2">
      <c r="A1" t="s">
        <v>813</v>
      </c>
    </row>
    <row r="3" spans="1:2">
      <c r="A3" s="5" t="s">
        <v>793</v>
      </c>
      <c r="B3" t="s">
        <v>795</v>
      </c>
    </row>
    <row r="4" spans="1:2">
      <c r="A4" s="6" t="s">
        <v>776</v>
      </c>
      <c r="B4" s="17">
        <v>72205.056179775274</v>
      </c>
    </row>
    <row r="5" spans="1:2">
      <c r="A5" s="6" t="s">
        <v>775</v>
      </c>
      <c r="B5" s="17">
        <v>49702.811244979923</v>
      </c>
    </row>
    <row r="6" spans="1:2">
      <c r="A6" s="6" t="s">
        <v>774</v>
      </c>
      <c r="B6" s="17">
        <v>120130.13698630137</v>
      </c>
    </row>
    <row r="7" spans="1:2">
      <c r="A7" s="6" t="s">
        <v>791</v>
      </c>
      <c r="B7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6A45-75B7-4B92-86DF-FDCC66CE70EE}">
  <dimension ref="A1:C6"/>
  <sheetViews>
    <sheetView workbookViewId="0">
      <selection activeCell="E17" sqref="E17"/>
    </sheetView>
  </sheetViews>
  <sheetFormatPr defaultRowHeight="13"/>
  <cols>
    <col min="1" max="1" width="11.26953125" bestFit="1" customWidth="1"/>
    <col min="2" max="2" width="18.453125" bestFit="1" customWidth="1"/>
    <col min="3" max="3" width="22.1796875" bestFit="1" customWidth="1"/>
  </cols>
  <sheetData>
    <row r="1" spans="1:3">
      <c r="A1" t="s">
        <v>814</v>
      </c>
    </row>
    <row r="3" spans="1:3">
      <c r="A3" s="5" t="s">
        <v>793</v>
      </c>
      <c r="B3" t="s">
        <v>794</v>
      </c>
      <c r="C3" t="s">
        <v>792</v>
      </c>
    </row>
    <row r="4" spans="1:3">
      <c r="A4" s="6" t="s">
        <v>778</v>
      </c>
      <c r="B4" s="17">
        <v>328</v>
      </c>
      <c r="C4" s="17">
        <v>22173000</v>
      </c>
    </row>
    <row r="5" spans="1:3">
      <c r="A5" s="6" t="s">
        <v>777</v>
      </c>
      <c r="B5" s="17">
        <v>172</v>
      </c>
      <c r="C5" s="17">
        <v>11825000</v>
      </c>
    </row>
    <row r="6" spans="1:3">
      <c r="A6" s="6" t="s">
        <v>791</v>
      </c>
      <c r="B6" s="17">
        <v>500</v>
      </c>
      <c r="C6" s="17">
        <v>33998000</v>
      </c>
    </row>
  </sheetData>
  <phoneticPr fontId="2"/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85135-ECF5-45B8-8629-5FC1CF3A9D90}">
  <dimension ref="A1:B7"/>
  <sheetViews>
    <sheetView workbookViewId="0">
      <selection activeCell="I23" sqref="I23"/>
    </sheetView>
  </sheetViews>
  <sheetFormatPr defaultRowHeight="13"/>
  <cols>
    <col min="1" max="1" width="12.1796875" bestFit="1" customWidth="1"/>
    <col min="2" max="3" width="22.1796875" bestFit="1" customWidth="1"/>
  </cols>
  <sheetData>
    <row r="1" spans="1:2">
      <c r="A1" t="s">
        <v>815</v>
      </c>
    </row>
    <row r="3" spans="1:2">
      <c r="A3" s="5" t="s">
        <v>793</v>
      </c>
      <c r="B3" t="s">
        <v>792</v>
      </c>
    </row>
    <row r="4" spans="1:2">
      <c r="A4" s="6" t="s">
        <v>779</v>
      </c>
      <c r="B4" s="17">
        <v>8136500</v>
      </c>
    </row>
    <row r="5" spans="1:2">
      <c r="A5" s="6" t="s">
        <v>780</v>
      </c>
      <c r="B5" s="17">
        <v>17573500</v>
      </c>
    </row>
    <row r="6" spans="1:2">
      <c r="A6" s="6" t="s">
        <v>781</v>
      </c>
      <c r="B6" s="17">
        <v>8288000</v>
      </c>
    </row>
    <row r="7" spans="1:2">
      <c r="A7" s="6" t="s">
        <v>791</v>
      </c>
      <c r="B7" s="17">
        <v>33998000</v>
      </c>
    </row>
  </sheetData>
  <phoneticPr fontId="2"/>
  <pageMargins left="0.7" right="0.7" top="0.75" bottom="0.75" header="0.3" footer="0.3"/>
  <pageSetup paperSize="9" orientation="portrait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A6C17-95AF-4459-900C-CE0A866347BA}">
  <dimension ref="A1:B516"/>
  <sheetViews>
    <sheetView workbookViewId="0">
      <selection activeCell="A11" sqref="A11"/>
    </sheetView>
  </sheetViews>
  <sheetFormatPr defaultRowHeight="13"/>
  <cols>
    <col min="1" max="1" width="15.7265625" bestFit="1" customWidth="1"/>
    <col min="2" max="2" width="22.1796875" bestFit="1" customWidth="1"/>
  </cols>
  <sheetData>
    <row r="1" spans="1:2">
      <c r="A1" t="s">
        <v>816</v>
      </c>
    </row>
    <row r="3" spans="1:2">
      <c r="A3" s="5" t="s">
        <v>793</v>
      </c>
      <c r="B3" t="s">
        <v>792</v>
      </c>
    </row>
    <row r="4" spans="1:2">
      <c r="A4" s="6" t="s">
        <v>796</v>
      </c>
      <c r="B4" s="17">
        <v>3161000</v>
      </c>
    </row>
    <row r="5" spans="1:2">
      <c r="A5" s="7">
        <v>45658.783113425925</v>
      </c>
      <c r="B5" s="17">
        <v>62000</v>
      </c>
    </row>
    <row r="6" spans="1:2">
      <c r="A6" s="7">
        <v>45658.81759259259</v>
      </c>
      <c r="B6" s="17">
        <v>74000</v>
      </c>
    </row>
    <row r="7" spans="1:2">
      <c r="A7" s="7">
        <v>45659.067048611112</v>
      </c>
      <c r="B7" s="17">
        <v>58500</v>
      </c>
    </row>
    <row r="8" spans="1:2">
      <c r="A8" s="7">
        <v>45659.366122685184</v>
      </c>
      <c r="B8" s="17">
        <v>11500</v>
      </c>
    </row>
    <row r="9" spans="1:2">
      <c r="A9" s="7">
        <v>45660.2890625</v>
      </c>
      <c r="B9" s="17">
        <v>78500</v>
      </c>
    </row>
    <row r="10" spans="1:2">
      <c r="A10" s="7">
        <v>45661.788877314815</v>
      </c>
      <c r="B10" s="17">
        <v>64500</v>
      </c>
    </row>
    <row r="11" spans="1:2">
      <c r="A11" s="7">
        <v>45662.902430555558</v>
      </c>
      <c r="B11" s="17">
        <v>76500</v>
      </c>
    </row>
    <row r="12" spans="1:2">
      <c r="A12" s="7">
        <v>45663.18917824074</v>
      </c>
      <c r="B12" s="17">
        <v>41500</v>
      </c>
    </row>
    <row r="13" spans="1:2">
      <c r="A13" s="7">
        <v>45663.758819444447</v>
      </c>
      <c r="B13" s="17">
        <v>24000</v>
      </c>
    </row>
    <row r="14" spans="1:2">
      <c r="A14" s="7">
        <v>45664.155451388891</v>
      </c>
      <c r="B14" s="17">
        <v>134500</v>
      </c>
    </row>
    <row r="15" spans="1:2">
      <c r="A15" s="7">
        <v>45664.368310185186</v>
      </c>
      <c r="B15" s="17">
        <v>78000</v>
      </c>
    </row>
    <row r="16" spans="1:2">
      <c r="A16" s="7">
        <v>45665.356539351851</v>
      </c>
      <c r="B16" s="17">
        <v>28000</v>
      </c>
    </row>
    <row r="17" spans="1:2">
      <c r="A17" s="7">
        <v>45665.818402777775</v>
      </c>
      <c r="B17" s="17">
        <v>22500</v>
      </c>
    </row>
    <row r="18" spans="1:2">
      <c r="A18" s="7">
        <v>45666.190844907411</v>
      </c>
      <c r="B18" s="17">
        <v>86000</v>
      </c>
    </row>
    <row r="19" spans="1:2">
      <c r="A19" s="7">
        <v>45670.409722222219</v>
      </c>
      <c r="B19" s="17">
        <v>76000</v>
      </c>
    </row>
    <row r="20" spans="1:2">
      <c r="A20" s="7">
        <v>45670.414895833332</v>
      </c>
      <c r="B20" s="17">
        <v>29000</v>
      </c>
    </row>
    <row r="21" spans="1:2">
      <c r="A21" s="7">
        <v>45672.068310185183</v>
      </c>
      <c r="B21" s="17">
        <v>103000</v>
      </c>
    </row>
    <row r="22" spans="1:2">
      <c r="A22" s="7">
        <v>45672.15357638889</v>
      </c>
      <c r="B22" s="17">
        <v>126000</v>
      </c>
    </row>
    <row r="23" spans="1:2">
      <c r="A23" s="7">
        <v>45672.891701388886</v>
      </c>
      <c r="B23" s="17">
        <v>122000</v>
      </c>
    </row>
    <row r="24" spans="1:2">
      <c r="A24" s="7">
        <v>45673.133171296293</v>
      </c>
      <c r="B24" s="17">
        <v>94000</v>
      </c>
    </row>
    <row r="25" spans="1:2">
      <c r="A25" s="7">
        <v>45673.555868055555</v>
      </c>
      <c r="B25" s="17">
        <v>18500</v>
      </c>
    </row>
    <row r="26" spans="1:2">
      <c r="A26" s="7">
        <v>45674.839212962965</v>
      </c>
      <c r="B26" s="17">
        <v>38500</v>
      </c>
    </row>
    <row r="27" spans="1:2">
      <c r="A27" s="7">
        <v>45675.754930555559</v>
      </c>
      <c r="B27" s="17">
        <v>94000</v>
      </c>
    </row>
    <row r="28" spans="1:2">
      <c r="A28" s="7">
        <v>45676.523101851853</v>
      </c>
      <c r="B28" s="17">
        <v>20500</v>
      </c>
    </row>
    <row r="29" spans="1:2">
      <c r="A29" s="7">
        <v>45676.536990740744</v>
      </c>
      <c r="B29" s="17">
        <v>21500</v>
      </c>
    </row>
    <row r="30" spans="1:2">
      <c r="A30" s="7">
        <v>45676.878553240742</v>
      </c>
      <c r="B30" s="17">
        <v>95500</v>
      </c>
    </row>
    <row r="31" spans="1:2">
      <c r="A31" s="7">
        <v>45676.925416666665</v>
      </c>
      <c r="B31" s="17">
        <v>43000</v>
      </c>
    </row>
    <row r="32" spans="1:2">
      <c r="A32" s="7">
        <v>45677.934259259258</v>
      </c>
      <c r="B32" s="17">
        <v>37000</v>
      </c>
    </row>
    <row r="33" spans="1:2">
      <c r="A33" s="7">
        <v>45679.405046296299</v>
      </c>
      <c r="B33" s="17">
        <v>74000</v>
      </c>
    </row>
    <row r="34" spans="1:2">
      <c r="A34" s="7">
        <v>45679.469571759262</v>
      </c>
      <c r="B34" s="17">
        <v>17000</v>
      </c>
    </row>
    <row r="35" spans="1:2">
      <c r="A35" s="7">
        <v>45679.683113425926</v>
      </c>
      <c r="B35" s="17">
        <v>32000</v>
      </c>
    </row>
    <row r="36" spans="1:2">
      <c r="A36" s="7">
        <v>45679.75335648148</v>
      </c>
      <c r="B36" s="17">
        <v>51500</v>
      </c>
    </row>
    <row r="37" spans="1:2">
      <c r="A37" s="7">
        <v>45680.114641203705</v>
      </c>
      <c r="B37" s="17">
        <v>21000</v>
      </c>
    </row>
    <row r="38" spans="1:2">
      <c r="A38" s="7">
        <v>45683.755787037036</v>
      </c>
      <c r="B38" s="17">
        <v>28000</v>
      </c>
    </row>
    <row r="39" spans="1:2">
      <c r="A39" s="7">
        <v>45684.029953703706</v>
      </c>
      <c r="B39" s="17">
        <v>21500</v>
      </c>
    </row>
    <row r="40" spans="1:2">
      <c r="A40" s="7">
        <v>45684.346759259257</v>
      </c>
      <c r="B40" s="17">
        <v>216000</v>
      </c>
    </row>
    <row r="41" spans="1:2">
      <c r="A41" s="7">
        <v>45684.821018518516</v>
      </c>
      <c r="B41" s="17">
        <v>65500</v>
      </c>
    </row>
    <row r="42" spans="1:2">
      <c r="A42" s="7">
        <v>45685.466886574075</v>
      </c>
      <c r="B42" s="17">
        <v>66000</v>
      </c>
    </row>
    <row r="43" spans="1:2">
      <c r="A43" s="7">
        <v>45685.573576388888</v>
      </c>
      <c r="B43" s="17">
        <v>84500</v>
      </c>
    </row>
    <row r="44" spans="1:2">
      <c r="A44" s="7">
        <v>45685.621388888889</v>
      </c>
      <c r="B44" s="17">
        <v>210500</v>
      </c>
    </row>
    <row r="45" spans="1:2">
      <c r="A45" s="7">
        <v>45686.399907407409</v>
      </c>
      <c r="B45" s="17">
        <v>85500</v>
      </c>
    </row>
    <row r="46" spans="1:2">
      <c r="A46" s="7">
        <v>45687.247152777774</v>
      </c>
      <c r="B46" s="17">
        <v>85500</v>
      </c>
    </row>
    <row r="47" spans="1:2">
      <c r="A47" s="7">
        <v>45688.063425925924</v>
      </c>
      <c r="B47" s="17">
        <v>48500</v>
      </c>
    </row>
    <row r="48" spans="1:2">
      <c r="A48" s="7">
        <v>45688.559351851851</v>
      </c>
      <c r="B48" s="17">
        <v>114000</v>
      </c>
    </row>
    <row r="49" spans="1:2">
      <c r="A49" s="7">
        <v>45688.65729166667</v>
      </c>
      <c r="B49" s="17">
        <v>50000</v>
      </c>
    </row>
    <row r="50" spans="1:2">
      <c r="A50" s="7">
        <v>45688.770497685182</v>
      </c>
      <c r="B50" s="17">
        <v>24500</v>
      </c>
    </row>
    <row r="51" spans="1:2">
      <c r="A51" s="7">
        <v>45688.87809027778</v>
      </c>
      <c r="B51" s="17">
        <v>107000</v>
      </c>
    </row>
    <row r="52" spans="1:2">
      <c r="A52" s="6" t="s">
        <v>797</v>
      </c>
      <c r="B52" s="17">
        <v>2964000</v>
      </c>
    </row>
    <row r="53" spans="1:2">
      <c r="A53" s="7">
        <v>45689.149027777778</v>
      </c>
      <c r="B53" s="17">
        <v>34500</v>
      </c>
    </row>
    <row r="54" spans="1:2">
      <c r="A54" s="7">
        <v>45689.986597222225</v>
      </c>
      <c r="B54" s="17">
        <v>26000</v>
      </c>
    </row>
    <row r="55" spans="1:2">
      <c r="A55" s="7">
        <v>45692.333587962959</v>
      </c>
      <c r="B55" s="17">
        <v>39500</v>
      </c>
    </row>
    <row r="56" spans="1:2">
      <c r="A56" s="7">
        <v>45692.447245370371</v>
      </c>
      <c r="B56" s="17">
        <v>41500</v>
      </c>
    </row>
    <row r="57" spans="1:2">
      <c r="A57" s="7">
        <v>45692.600405092591</v>
      </c>
      <c r="B57" s="17">
        <v>19500</v>
      </c>
    </row>
    <row r="58" spans="1:2">
      <c r="A58" s="7">
        <v>45694.173078703701</v>
      </c>
      <c r="B58" s="17">
        <v>60000</v>
      </c>
    </row>
    <row r="59" spans="1:2">
      <c r="A59" s="7">
        <v>45694.994675925926</v>
      </c>
      <c r="B59" s="17">
        <v>57500</v>
      </c>
    </row>
    <row r="60" spans="1:2">
      <c r="A60" s="7">
        <v>45695.63076388889</v>
      </c>
      <c r="B60" s="17">
        <v>72000</v>
      </c>
    </row>
    <row r="61" spans="1:2">
      <c r="A61" s="7">
        <v>45695.788287037038</v>
      </c>
      <c r="B61" s="17">
        <v>46000</v>
      </c>
    </row>
    <row r="62" spans="1:2">
      <c r="A62" s="7">
        <v>45696.364490740743</v>
      </c>
      <c r="B62" s="17">
        <v>43000</v>
      </c>
    </row>
    <row r="63" spans="1:2">
      <c r="A63" s="7">
        <v>45696.416018518517</v>
      </c>
      <c r="B63" s="17">
        <v>40000</v>
      </c>
    </row>
    <row r="64" spans="1:2">
      <c r="A64" s="7">
        <v>45696.639374999999</v>
      </c>
      <c r="B64" s="17">
        <v>72000</v>
      </c>
    </row>
    <row r="65" spans="1:2">
      <c r="A65" s="7">
        <v>45697.001388888886</v>
      </c>
      <c r="B65" s="17">
        <v>55000</v>
      </c>
    </row>
    <row r="66" spans="1:2">
      <c r="A66" s="7">
        <v>45699.66510416667</v>
      </c>
      <c r="B66" s="17">
        <v>94000</v>
      </c>
    </row>
    <row r="67" spans="1:2">
      <c r="A67" s="7">
        <v>45700.92423611111</v>
      </c>
      <c r="B67" s="17">
        <v>134000</v>
      </c>
    </row>
    <row r="68" spans="1:2">
      <c r="A68" s="7">
        <v>45701.300879629627</v>
      </c>
      <c r="B68" s="17">
        <v>106000</v>
      </c>
    </row>
    <row r="69" spans="1:2">
      <c r="A69" s="7">
        <v>45701.553518518522</v>
      </c>
      <c r="B69" s="17">
        <v>97500</v>
      </c>
    </row>
    <row r="70" spans="1:2">
      <c r="A70" s="7">
        <v>45701.66679398148</v>
      </c>
      <c r="B70" s="17">
        <v>182000</v>
      </c>
    </row>
    <row r="71" spans="1:2">
      <c r="A71" s="7">
        <v>45701.84652777778</v>
      </c>
      <c r="B71" s="17">
        <v>43000</v>
      </c>
    </row>
    <row r="72" spans="1:2">
      <c r="A72" s="7">
        <v>45703.288680555554</v>
      </c>
      <c r="B72" s="17">
        <v>21500</v>
      </c>
    </row>
    <row r="73" spans="1:2">
      <c r="A73" s="7">
        <v>45704.033171296294</v>
      </c>
      <c r="B73" s="17">
        <v>97000</v>
      </c>
    </row>
    <row r="74" spans="1:2">
      <c r="A74" s="7">
        <v>45704.764803240738</v>
      </c>
      <c r="B74" s="17">
        <v>20500</v>
      </c>
    </row>
    <row r="75" spans="1:2">
      <c r="A75" s="7">
        <v>45705.461493055554</v>
      </c>
      <c r="B75" s="17">
        <v>70000</v>
      </c>
    </row>
    <row r="76" spans="1:2">
      <c r="A76" s="7">
        <v>45706.223379629628</v>
      </c>
      <c r="B76" s="17">
        <v>24000</v>
      </c>
    </row>
    <row r="77" spans="1:2">
      <c r="A77" s="7">
        <v>45706.582997685182</v>
      </c>
      <c r="B77" s="17">
        <v>44500</v>
      </c>
    </row>
    <row r="78" spans="1:2">
      <c r="A78" s="7">
        <v>45708.298148148147</v>
      </c>
      <c r="B78" s="17">
        <v>90000</v>
      </c>
    </row>
    <row r="79" spans="1:2">
      <c r="A79" s="7">
        <v>45709.02140046296</v>
      </c>
      <c r="B79" s="17">
        <v>39000</v>
      </c>
    </row>
    <row r="80" spans="1:2">
      <c r="A80" s="7">
        <v>45709.229386574072</v>
      </c>
      <c r="B80" s="17">
        <v>71000</v>
      </c>
    </row>
    <row r="81" spans="1:2">
      <c r="A81" s="7">
        <v>45709.659930555557</v>
      </c>
      <c r="B81" s="17">
        <v>86500</v>
      </c>
    </row>
    <row r="82" spans="1:2">
      <c r="A82" s="7">
        <v>45709.679976851854</v>
      </c>
      <c r="B82" s="17">
        <v>101000</v>
      </c>
    </row>
    <row r="83" spans="1:2">
      <c r="A83" s="7">
        <v>45710.988865740743</v>
      </c>
      <c r="B83" s="17">
        <v>23000</v>
      </c>
    </row>
    <row r="84" spans="1:2">
      <c r="A84" s="7">
        <v>45711.010196759256</v>
      </c>
      <c r="B84" s="17">
        <v>210000</v>
      </c>
    </row>
    <row r="85" spans="1:2">
      <c r="A85" s="7">
        <v>45711.054363425923</v>
      </c>
      <c r="B85" s="17">
        <v>23500</v>
      </c>
    </row>
    <row r="86" spans="1:2">
      <c r="A86" s="7">
        <v>45711.181446759256</v>
      </c>
      <c r="B86" s="17">
        <v>98000</v>
      </c>
    </row>
    <row r="87" spans="1:2">
      <c r="A87" s="7">
        <v>45711.908483796295</v>
      </c>
      <c r="B87" s="17">
        <v>129500</v>
      </c>
    </row>
    <row r="88" spans="1:2">
      <c r="A88" s="7">
        <v>45712.526331018518</v>
      </c>
      <c r="B88" s="17">
        <v>80000</v>
      </c>
    </row>
    <row r="89" spans="1:2">
      <c r="A89" s="7">
        <v>45713.357442129629</v>
      </c>
      <c r="B89" s="17">
        <v>66500</v>
      </c>
    </row>
    <row r="90" spans="1:2">
      <c r="A90" s="7">
        <v>45713.93954861111</v>
      </c>
      <c r="B90" s="17">
        <v>57500</v>
      </c>
    </row>
    <row r="91" spans="1:2">
      <c r="A91" s="7">
        <v>45714.114432870374</v>
      </c>
      <c r="B91" s="17">
        <v>110500</v>
      </c>
    </row>
    <row r="92" spans="1:2">
      <c r="A92" s="7">
        <v>45715.285868055558</v>
      </c>
      <c r="B92" s="17">
        <v>70000</v>
      </c>
    </row>
    <row r="93" spans="1:2">
      <c r="A93" s="7">
        <v>45715.690335648149</v>
      </c>
      <c r="B93" s="17">
        <v>81500</v>
      </c>
    </row>
    <row r="94" spans="1:2">
      <c r="A94" s="7">
        <v>45715.882465277777</v>
      </c>
      <c r="B94" s="17">
        <v>24500</v>
      </c>
    </row>
    <row r="95" spans="1:2">
      <c r="A95" s="7">
        <v>45716.839918981481</v>
      </c>
      <c r="B95" s="17">
        <v>61500</v>
      </c>
    </row>
    <row r="96" spans="1:2">
      <c r="A96" s="6" t="s">
        <v>798</v>
      </c>
      <c r="B96" s="17">
        <v>3579000</v>
      </c>
    </row>
    <row r="97" spans="1:2">
      <c r="A97" s="7">
        <v>45717.103738425925</v>
      </c>
      <c r="B97" s="17">
        <v>28500</v>
      </c>
    </row>
    <row r="98" spans="1:2">
      <c r="A98" s="7">
        <v>45717.246782407405</v>
      </c>
      <c r="B98" s="17">
        <v>61000</v>
      </c>
    </row>
    <row r="99" spans="1:2">
      <c r="A99" s="7">
        <v>45717.787951388891</v>
      </c>
      <c r="B99" s="17">
        <v>20500</v>
      </c>
    </row>
    <row r="100" spans="1:2">
      <c r="A100" s="7">
        <v>45718.615694444445</v>
      </c>
      <c r="B100" s="17">
        <v>53500</v>
      </c>
    </row>
    <row r="101" spans="1:2">
      <c r="A101" s="7">
        <v>45719.394780092596</v>
      </c>
      <c r="B101" s="17">
        <v>51500</v>
      </c>
    </row>
    <row r="102" spans="1:2">
      <c r="A102" s="7">
        <v>45719.720601851855</v>
      </c>
      <c r="B102" s="17">
        <v>67000</v>
      </c>
    </row>
    <row r="103" spans="1:2">
      <c r="A103" s="7">
        <v>45720.614131944443</v>
      </c>
      <c r="B103" s="17">
        <v>162000</v>
      </c>
    </row>
    <row r="104" spans="1:2">
      <c r="A104" s="7">
        <v>45721.145486111112</v>
      </c>
      <c r="B104" s="17">
        <v>11000</v>
      </c>
    </row>
    <row r="105" spans="1:2">
      <c r="A105" s="7">
        <v>45721.226967592593</v>
      </c>
      <c r="B105" s="17">
        <v>218500</v>
      </c>
    </row>
    <row r="106" spans="1:2">
      <c r="A106" s="7">
        <v>45722.339768518519</v>
      </c>
      <c r="B106" s="17">
        <v>60500</v>
      </c>
    </row>
    <row r="107" spans="1:2">
      <c r="A107" s="7">
        <v>45722.375775462962</v>
      </c>
      <c r="B107" s="17">
        <v>52000</v>
      </c>
    </row>
    <row r="108" spans="1:2">
      <c r="A108" s="7">
        <v>45723.495324074072</v>
      </c>
      <c r="B108" s="17">
        <v>40000</v>
      </c>
    </row>
    <row r="109" spans="1:2">
      <c r="A109" s="7">
        <v>45724.245381944442</v>
      </c>
      <c r="B109" s="17">
        <v>29500</v>
      </c>
    </row>
    <row r="110" spans="1:2">
      <c r="A110" s="7">
        <v>45724.520509259259</v>
      </c>
      <c r="B110" s="17">
        <v>40500</v>
      </c>
    </row>
    <row r="111" spans="1:2">
      <c r="A111" s="7">
        <v>45725.204467592594</v>
      </c>
      <c r="B111" s="17">
        <v>64000</v>
      </c>
    </row>
    <row r="112" spans="1:2">
      <c r="A112" s="7">
        <v>45725.967060185183</v>
      </c>
      <c r="B112" s="17">
        <v>27000</v>
      </c>
    </row>
    <row r="113" spans="1:2">
      <c r="A113" s="7">
        <v>45727.063726851855</v>
      </c>
      <c r="B113" s="17">
        <v>138500</v>
      </c>
    </row>
    <row r="114" spans="1:2">
      <c r="A114" s="7">
        <v>45728.172488425924</v>
      </c>
      <c r="B114" s="17">
        <v>137500</v>
      </c>
    </row>
    <row r="115" spans="1:2">
      <c r="A115" s="7">
        <v>45728.392939814818</v>
      </c>
      <c r="B115" s="17">
        <v>63000</v>
      </c>
    </row>
    <row r="116" spans="1:2">
      <c r="A116" s="7">
        <v>45728.820601851854</v>
      </c>
      <c r="B116" s="17">
        <v>99500</v>
      </c>
    </row>
    <row r="117" spans="1:2">
      <c r="A117" s="7">
        <v>45729.703703703701</v>
      </c>
      <c r="B117" s="17">
        <v>33000</v>
      </c>
    </row>
    <row r="118" spans="1:2">
      <c r="A118" s="7">
        <v>45729.766736111109</v>
      </c>
      <c r="B118" s="17">
        <v>30500</v>
      </c>
    </row>
    <row r="119" spans="1:2">
      <c r="A119" s="7">
        <v>45730.744074074071</v>
      </c>
      <c r="B119" s="17">
        <v>70000</v>
      </c>
    </row>
    <row r="120" spans="1:2">
      <c r="A120" s="7">
        <v>45730.830069444448</v>
      </c>
      <c r="B120" s="17">
        <v>140500</v>
      </c>
    </row>
    <row r="121" spans="1:2">
      <c r="A121" s="7">
        <v>45731.478750000002</v>
      </c>
      <c r="B121" s="17">
        <v>74500</v>
      </c>
    </row>
    <row r="122" spans="1:2">
      <c r="A122" s="7">
        <v>45733.25037037037</v>
      </c>
      <c r="B122" s="17">
        <v>156000</v>
      </c>
    </row>
    <row r="123" spans="1:2">
      <c r="A123" s="7">
        <v>45733.804930555554</v>
      </c>
      <c r="B123" s="17">
        <v>23000</v>
      </c>
    </row>
    <row r="124" spans="1:2">
      <c r="A124" s="7">
        <v>45734.929456018515</v>
      </c>
      <c r="B124" s="17">
        <v>24000</v>
      </c>
    </row>
    <row r="125" spans="1:2">
      <c r="A125" s="7">
        <v>45735.616018518522</v>
      </c>
      <c r="B125" s="17">
        <v>31000</v>
      </c>
    </row>
    <row r="126" spans="1:2">
      <c r="A126" s="7">
        <v>45736.037858796299</v>
      </c>
      <c r="B126" s="17">
        <v>41500</v>
      </c>
    </row>
    <row r="127" spans="1:2">
      <c r="A127" s="7">
        <v>45737.334490740737</v>
      </c>
      <c r="B127" s="17">
        <v>48500</v>
      </c>
    </row>
    <row r="128" spans="1:2">
      <c r="A128" s="7">
        <v>45737.398043981484</v>
      </c>
      <c r="B128" s="17">
        <v>49000</v>
      </c>
    </row>
    <row r="129" spans="1:2">
      <c r="A129" s="7">
        <v>45738.160613425927</v>
      </c>
      <c r="B129" s="17">
        <v>126000</v>
      </c>
    </row>
    <row r="130" spans="1:2">
      <c r="A130" s="7">
        <v>45738.320659722223</v>
      </c>
      <c r="B130" s="17">
        <v>67000</v>
      </c>
    </row>
    <row r="131" spans="1:2">
      <c r="A131" s="7">
        <v>45738.483298611114</v>
      </c>
      <c r="B131" s="17">
        <v>147000</v>
      </c>
    </row>
    <row r="132" spans="1:2">
      <c r="A132" s="7">
        <v>45738.832129629627</v>
      </c>
      <c r="B132" s="17">
        <v>184500</v>
      </c>
    </row>
    <row r="133" spans="1:2">
      <c r="A133" s="7">
        <v>45739.048460648148</v>
      </c>
      <c r="B133" s="17">
        <v>47500</v>
      </c>
    </row>
    <row r="134" spans="1:2">
      <c r="A134" s="7">
        <v>45740.20107638889</v>
      </c>
      <c r="B134" s="17">
        <v>176500</v>
      </c>
    </row>
    <row r="135" spans="1:2">
      <c r="A135" s="7">
        <v>45740.592928240738</v>
      </c>
      <c r="B135" s="17">
        <v>19500</v>
      </c>
    </row>
    <row r="136" spans="1:2">
      <c r="A136" s="7">
        <v>45741.910914351851</v>
      </c>
      <c r="B136" s="17">
        <v>39000</v>
      </c>
    </row>
    <row r="137" spans="1:2">
      <c r="A137" s="7">
        <v>45743.806921296295</v>
      </c>
      <c r="B137" s="17">
        <v>26000</v>
      </c>
    </row>
    <row r="138" spans="1:2">
      <c r="A138" s="7">
        <v>45744.444560185184</v>
      </c>
      <c r="B138" s="17">
        <v>76000</v>
      </c>
    </row>
    <row r="139" spans="1:2">
      <c r="A139" s="7">
        <v>45744.572002314817</v>
      </c>
      <c r="B139" s="17">
        <v>95000</v>
      </c>
    </row>
    <row r="140" spans="1:2">
      <c r="A140" s="7">
        <v>45745.791122685187</v>
      </c>
      <c r="B140" s="17">
        <v>52000</v>
      </c>
    </row>
    <row r="141" spans="1:2">
      <c r="A141" s="7">
        <v>45745.821388888886</v>
      </c>
      <c r="B141" s="17">
        <v>79000</v>
      </c>
    </row>
    <row r="142" spans="1:2">
      <c r="A142" s="7">
        <v>45746.752500000002</v>
      </c>
      <c r="B142" s="17">
        <v>80000</v>
      </c>
    </row>
    <row r="143" spans="1:2">
      <c r="A143" s="7">
        <v>45746.96806712963</v>
      </c>
      <c r="B143" s="17">
        <v>51000</v>
      </c>
    </row>
    <row r="144" spans="1:2">
      <c r="A144" s="7">
        <v>45747.000972222224</v>
      </c>
      <c r="B144" s="17">
        <v>34000</v>
      </c>
    </row>
    <row r="145" spans="1:2">
      <c r="A145" s="7">
        <v>45747.782430555555</v>
      </c>
      <c r="B145" s="17">
        <v>132000</v>
      </c>
    </row>
    <row r="146" spans="1:2">
      <c r="A146" s="6" t="s">
        <v>799</v>
      </c>
      <c r="B146" s="17">
        <v>3021000</v>
      </c>
    </row>
    <row r="147" spans="1:2">
      <c r="A147" s="7">
        <v>45748.595995370371</v>
      </c>
      <c r="B147" s="17">
        <v>23000</v>
      </c>
    </row>
    <row r="148" spans="1:2">
      <c r="A148" s="7">
        <v>45749.255543981482</v>
      </c>
      <c r="B148" s="17">
        <v>43000</v>
      </c>
    </row>
    <row r="149" spans="1:2">
      <c r="A149" s="7">
        <v>45749.48228009259</v>
      </c>
      <c r="B149" s="17">
        <v>29000</v>
      </c>
    </row>
    <row r="150" spans="1:2">
      <c r="A150" s="7">
        <v>45750.60974537037</v>
      </c>
      <c r="B150" s="17">
        <v>61500</v>
      </c>
    </row>
    <row r="151" spans="1:2">
      <c r="A151" s="7">
        <v>45751.554664351854</v>
      </c>
      <c r="B151" s="17">
        <v>63000</v>
      </c>
    </row>
    <row r="152" spans="1:2">
      <c r="A152" s="7">
        <v>45753.30878472222</v>
      </c>
      <c r="B152" s="17">
        <v>83000</v>
      </c>
    </row>
    <row r="153" spans="1:2">
      <c r="A153" s="7">
        <v>45753.460092592592</v>
      </c>
      <c r="B153" s="17">
        <v>56500</v>
      </c>
    </row>
    <row r="154" spans="1:2">
      <c r="A154" s="7">
        <v>45753.750474537039</v>
      </c>
      <c r="B154" s="17">
        <v>31000</v>
      </c>
    </row>
    <row r="155" spans="1:2">
      <c r="A155" s="7">
        <v>45754.242939814816</v>
      </c>
      <c r="B155" s="17">
        <v>157000</v>
      </c>
    </row>
    <row r="156" spans="1:2">
      <c r="A156" s="7">
        <v>45755.400439814817</v>
      </c>
      <c r="B156" s="17">
        <v>19000</v>
      </c>
    </row>
    <row r="157" spans="1:2">
      <c r="A157" s="7">
        <v>45755.853715277779</v>
      </c>
      <c r="B157" s="17">
        <v>198000</v>
      </c>
    </row>
    <row r="158" spans="1:2">
      <c r="A158" s="7">
        <v>45756.153622685182</v>
      </c>
      <c r="B158" s="17">
        <v>117000</v>
      </c>
    </row>
    <row r="159" spans="1:2">
      <c r="A159" s="7">
        <v>45756.396111111113</v>
      </c>
      <c r="B159" s="17">
        <v>97500</v>
      </c>
    </row>
    <row r="160" spans="1:2">
      <c r="A160" s="7">
        <v>45758.621180555558</v>
      </c>
      <c r="B160" s="17">
        <v>40000</v>
      </c>
    </row>
    <row r="161" spans="1:2">
      <c r="A161" s="7">
        <v>45758.745763888888</v>
      </c>
      <c r="B161" s="17">
        <v>58500</v>
      </c>
    </row>
    <row r="162" spans="1:2">
      <c r="A162" s="7">
        <v>45761.412557870368</v>
      </c>
      <c r="B162" s="17">
        <v>42500</v>
      </c>
    </row>
    <row r="163" spans="1:2">
      <c r="A163" s="7">
        <v>45762.385104166664</v>
      </c>
      <c r="B163" s="17">
        <v>33000</v>
      </c>
    </row>
    <row r="164" spans="1:2">
      <c r="A164" s="7">
        <v>45763.760208333333</v>
      </c>
      <c r="B164" s="17">
        <v>48000</v>
      </c>
    </row>
    <row r="165" spans="1:2">
      <c r="A165" s="7">
        <v>45764.248553240737</v>
      </c>
      <c r="B165" s="17">
        <v>45000</v>
      </c>
    </row>
    <row r="166" spans="1:2">
      <c r="A166" s="7">
        <v>45764.524756944447</v>
      </c>
      <c r="B166" s="17">
        <v>78500</v>
      </c>
    </row>
    <row r="167" spans="1:2">
      <c r="A167" s="7">
        <v>45764.739988425928</v>
      </c>
      <c r="B167" s="17">
        <v>145000</v>
      </c>
    </row>
    <row r="168" spans="1:2">
      <c r="A168" s="7">
        <v>45765.02275462963</v>
      </c>
      <c r="B168" s="17">
        <v>27500</v>
      </c>
    </row>
    <row r="169" spans="1:2">
      <c r="A169" s="7">
        <v>45765.710266203707</v>
      </c>
      <c r="B169" s="17">
        <v>34500</v>
      </c>
    </row>
    <row r="170" spans="1:2">
      <c r="A170" s="7">
        <v>45766.993784722225</v>
      </c>
      <c r="B170" s="17">
        <v>19500</v>
      </c>
    </row>
    <row r="171" spans="1:2">
      <c r="A171" s="7">
        <v>45768.592546296299</v>
      </c>
      <c r="B171" s="17">
        <v>74500</v>
      </c>
    </row>
    <row r="172" spans="1:2">
      <c r="A172" s="7">
        <v>45768.993067129632</v>
      </c>
      <c r="B172" s="17">
        <v>23500</v>
      </c>
    </row>
    <row r="173" spans="1:2">
      <c r="A173" s="7">
        <v>45770.299780092595</v>
      </c>
      <c r="B173" s="17">
        <v>138500</v>
      </c>
    </row>
    <row r="174" spans="1:2">
      <c r="A174" s="7">
        <v>45770.572800925926</v>
      </c>
      <c r="B174" s="17">
        <v>111000</v>
      </c>
    </row>
    <row r="175" spans="1:2">
      <c r="A175" s="7">
        <v>45771.546342592592</v>
      </c>
      <c r="B175" s="17">
        <v>64500</v>
      </c>
    </row>
    <row r="176" spans="1:2">
      <c r="A176" s="7">
        <v>45771.589687500003</v>
      </c>
      <c r="B176" s="17">
        <v>95500</v>
      </c>
    </row>
    <row r="177" spans="1:2">
      <c r="A177" s="7">
        <v>45771.636099537034</v>
      </c>
      <c r="B177" s="17">
        <v>60500</v>
      </c>
    </row>
    <row r="178" spans="1:2">
      <c r="A178" s="7">
        <v>45772.840185185189</v>
      </c>
      <c r="B178" s="17">
        <v>27500</v>
      </c>
    </row>
    <row r="179" spans="1:2">
      <c r="A179" s="7">
        <v>45773.79351851852</v>
      </c>
      <c r="B179" s="17">
        <v>130000</v>
      </c>
    </row>
    <row r="180" spans="1:2">
      <c r="A180" s="7">
        <v>45774.670671296299</v>
      </c>
      <c r="B180" s="17">
        <v>57500</v>
      </c>
    </row>
    <row r="181" spans="1:2">
      <c r="A181" s="7">
        <v>45775.071284722224</v>
      </c>
      <c r="B181" s="17">
        <v>37000</v>
      </c>
    </row>
    <row r="182" spans="1:2">
      <c r="A182" s="7">
        <v>45775.537314814814</v>
      </c>
      <c r="B182" s="17">
        <v>114500</v>
      </c>
    </row>
    <row r="183" spans="1:2">
      <c r="A183" s="7">
        <v>45775.648275462961</v>
      </c>
      <c r="B183" s="17">
        <v>64500</v>
      </c>
    </row>
    <row r="184" spans="1:2">
      <c r="A184" s="7">
        <v>45776.006458333337</v>
      </c>
      <c r="B184" s="17">
        <v>127500</v>
      </c>
    </row>
    <row r="185" spans="1:2">
      <c r="A185" s="7">
        <v>45776.038182870368</v>
      </c>
      <c r="B185" s="17">
        <v>45500</v>
      </c>
    </row>
    <row r="186" spans="1:2">
      <c r="A186" s="7">
        <v>45776.867546296293</v>
      </c>
      <c r="B186" s="17">
        <v>183000</v>
      </c>
    </row>
    <row r="187" spans="1:2">
      <c r="A187" s="7">
        <v>45777.454340277778</v>
      </c>
      <c r="B187" s="17">
        <v>33500</v>
      </c>
    </row>
    <row r="188" spans="1:2">
      <c r="A188" s="7">
        <v>45777.90525462963</v>
      </c>
      <c r="B188" s="17">
        <v>82000</v>
      </c>
    </row>
    <row r="189" spans="1:2">
      <c r="A189" s="6" t="s">
        <v>800</v>
      </c>
      <c r="B189" s="17">
        <v>3023000</v>
      </c>
    </row>
    <row r="190" spans="1:2">
      <c r="A190" s="7">
        <v>45778.249988425923</v>
      </c>
      <c r="B190" s="17">
        <v>31000</v>
      </c>
    </row>
    <row r="191" spans="1:2">
      <c r="A191" s="7">
        <v>45779.141377314816</v>
      </c>
      <c r="B191" s="17">
        <v>104500</v>
      </c>
    </row>
    <row r="192" spans="1:2">
      <c r="A192" s="7">
        <v>45779.815289351849</v>
      </c>
      <c r="B192" s="17">
        <v>30500</v>
      </c>
    </row>
    <row r="193" spans="1:2">
      <c r="A193" s="7">
        <v>45780.820335648146</v>
      </c>
      <c r="B193" s="17">
        <v>50000</v>
      </c>
    </row>
    <row r="194" spans="1:2">
      <c r="A194" s="7">
        <v>45780.884768518517</v>
      </c>
      <c r="B194" s="17">
        <v>36500</v>
      </c>
    </row>
    <row r="195" spans="1:2">
      <c r="A195" s="7">
        <v>45781.174791666665</v>
      </c>
      <c r="B195" s="17">
        <v>43000</v>
      </c>
    </row>
    <row r="196" spans="1:2">
      <c r="A196" s="7">
        <v>45783.098032407404</v>
      </c>
      <c r="B196" s="17">
        <v>36500</v>
      </c>
    </row>
    <row r="197" spans="1:2">
      <c r="A197" s="7">
        <v>45783.854201388887</v>
      </c>
      <c r="B197" s="17">
        <v>51000</v>
      </c>
    </row>
    <row r="198" spans="1:2">
      <c r="A198" s="7">
        <v>45784.035462962966</v>
      </c>
      <c r="B198" s="17">
        <v>80000</v>
      </c>
    </row>
    <row r="199" spans="1:2">
      <c r="A199" s="7">
        <v>45784.426354166666</v>
      </c>
      <c r="B199" s="17">
        <v>184000</v>
      </c>
    </row>
    <row r="200" spans="1:2">
      <c r="A200" s="7">
        <v>45785.162824074076</v>
      </c>
      <c r="B200" s="17">
        <v>55500</v>
      </c>
    </row>
    <row r="201" spans="1:2">
      <c r="A201" s="7">
        <v>45786.081319444442</v>
      </c>
      <c r="B201" s="17">
        <v>119000</v>
      </c>
    </row>
    <row r="202" spans="1:2">
      <c r="A202" s="7">
        <v>45786.457361111112</v>
      </c>
      <c r="B202" s="17">
        <v>40500</v>
      </c>
    </row>
    <row r="203" spans="1:2">
      <c r="A203" s="7">
        <v>45786.459687499999</v>
      </c>
      <c r="B203" s="17">
        <v>162000</v>
      </c>
    </row>
    <row r="204" spans="1:2">
      <c r="A204" s="7">
        <v>45786.999444444446</v>
      </c>
      <c r="B204" s="17">
        <v>54500</v>
      </c>
    </row>
    <row r="205" spans="1:2">
      <c r="A205" s="7">
        <v>45787.066979166666</v>
      </c>
      <c r="B205" s="17">
        <v>25500</v>
      </c>
    </row>
    <row r="206" spans="1:2">
      <c r="A206" s="7">
        <v>45787.088900462964</v>
      </c>
      <c r="B206" s="17">
        <v>18000</v>
      </c>
    </row>
    <row r="207" spans="1:2">
      <c r="A207" s="7">
        <v>45789.925532407404</v>
      </c>
      <c r="B207" s="17">
        <v>77000</v>
      </c>
    </row>
    <row r="208" spans="1:2">
      <c r="A208" s="7">
        <v>45790.256689814814</v>
      </c>
      <c r="B208" s="17">
        <v>39500</v>
      </c>
    </row>
    <row r="209" spans="1:2">
      <c r="A209" s="7">
        <v>45791.707071759258</v>
      </c>
      <c r="B209" s="17">
        <v>46500</v>
      </c>
    </row>
    <row r="210" spans="1:2">
      <c r="A210" s="7">
        <v>45792.54011574074</v>
      </c>
      <c r="B210" s="17">
        <v>27500</v>
      </c>
    </row>
    <row r="211" spans="1:2">
      <c r="A211" s="7">
        <v>45793.237210648149</v>
      </c>
      <c r="B211" s="17">
        <v>47500</v>
      </c>
    </row>
    <row r="212" spans="1:2">
      <c r="A212" s="7">
        <v>45793.495810185188</v>
      </c>
      <c r="B212" s="17">
        <v>230500</v>
      </c>
    </row>
    <row r="213" spans="1:2">
      <c r="A213" s="7">
        <v>45793.653668981482</v>
      </c>
      <c r="B213" s="17">
        <v>115000</v>
      </c>
    </row>
    <row r="214" spans="1:2">
      <c r="A214" s="7">
        <v>45794.968819444446</v>
      </c>
      <c r="B214" s="17">
        <v>39500</v>
      </c>
    </row>
    <row r="215" spans="1:2">
      <c r="A215" s="7">
        <v>45795.245474537034</v>
      </c>
      <c r="B215" s="17">
        <v>89500</v>
      </c>
    </row>
    <row r="216" spans="1:2">
      <c r="A216" s="7">
        <v>45795.450601851851</v>
      </c>
      <c r="B216" s="17">
        <v>65500</v>
      </c>
    </row>
    <row r="217" spans="1:2">
      <c r="A217" s="7">
        <v>45795.614305555559</v>
      </c>
      <c r="B217" s="17">
        <v>60500</v>
      </c>
    </row>
    <row r="218" spans="1:2">
      <c r="A218" s="7">
        <v>45798.79179398148</v>
      </c>
      <c r="B218" s="17">
        <v>40500</v>
      </c>
    </row>
    <row r="219" spans="1:2">
      <c r="A219" s="7">
        <v>45799.635428240741</v>
      </c>
      <c r="B219" s="17">
        <v>62500</v>
      </c>
    </row>
    <row r="220" spans="1:2">
      <c r="A220" s="7">
        <v>45799.701689814814</v>
      </c>
      <c r="B220" s="17">
        <v>77000</v>
      </c>
    </row>
    <row r="221" spans="1:2">
      <c r="A221" s="7">
        <v>45800.730810185189</v>
      </c>
      <c r="B221" s="17">
        <v>54000</v>
      </c>
    </row>
    <row r="222" spans="1:2">
      <c r="A222" s="7">
        <v>45801.266504629632</v>
      </c>
      <c r="B222" s="17">
        <v>32000</v>
      </c>
    </row>
    <row r="223" spans="1:2">
      <c r="A223" s="7">
        <v>45801.902731481481</v>
      </c>
      <c r="B223" s="17">
        <v>41500</v>
      </c>
    </row>
    <row r="224" spans="1:2">
      <c r="A224" s="7">
        <v>45802.179166666669</v>
      </c>
      <c r="B224" s="17">
        <v>185000</v>
      </c>
    </row>
    <row r="225" spans="1:2">
      <c r="A225" s="7">
        <v>45802.215914351851</v>
      </c>
      <c r="B225" s="17">
        <v>47000</v>
      </c>
    </row>
    <row r="226" spans="1:2">
      <c r="A226" s="7">
        <v>45803.625069444446</v>
      </c>
      <c r="B226" s="17">
        <v>39500</v>
      </c>
    </row>
    <row r="227" spans="1:2">
      <c r="A227" s="7">
        <v>45804.40179398148</v>
      </c>
      <c r="B227" s="17">
        <v>34500</v>
      </c>
    </row>
    <row r="228" spans="1:2">
      <c r="A228" s="7">
        <v>45805.910810185182</v>
      </c>
      <c r="B228" s="17">
        <v>129000</v>
      </c>
    </row>
    <row r="229" spans="1:2">
      <c r="A229" s="7">
        <v>45806.513831018521</v>
      </c>
      <c r="B229" s="17">
        <v>60000</v>
      </c>
    </row>
    <row r="230" spans="1:2">
      <c r="A230" s="7">
        <v>45806.569467592592</v>
      </c>
      <c r="B230" s="17">
        <v>33000</v>
      </c>
    </row>
    <row r="231" spans="1:2">
      <c r="A231" s="7">
        <v>45806.641886574071</v>
      </c>
      <c r="B231" s="17">
        <v>43500</v>
      </c>
    </row>
    <row r="232" spans="1:2">
      <c r="A232" s="7">
        <v>45808.380868055552</v>
      </c>
      <c r="B232" s="17">
        <v>55500</v>
      </c>
    </row>
    <row r="233" spans="1:2">
      <c r="A233" s="7">
        <v>45808.632476851853</v>
      </c>
      <c r="B233" s="17">
        <v>64000</v>
      </c>
    </row>
    <row r="234" spans="1:2">
      <c r="A234" s="7">
        <v>45808.712650462963</v>
      </c>
      <c r="B234" s="17">
        <v>64000</v>
      </c>
    </row>
    <row r="235" spans="1:2">
      <c r="A235" s="6" t="s">
        <v>801</v>
      </c>
      <c r="B235" s="17">
        <v>2601000</v>
      </c>
    </row>
    <row r="236" spans="1:2">
      <c r="A236" s="7">
        <v>45809.000787037039</v>
      </c>
      <c r="B236" s="17">
        <v>33000</v>
      </c>
    </row>
    <row r="237" spans="1:2">
      <c r="A237" s="7">
        <v>45809.168043981481</v>
      </c>
      <c r="B237" s="17">
        <v>58000</v>
      </c>
    </row>
    <row r="238" spans="1:2">
      <c r="A238" s="7">
        <v>45809.409513888888</v>
      </c>
      <c r="B238" s="17">
        <v>64500</v>
      </c>
    </row>
    <row r="239" spans="1:2">
      <c r="A239" s="7">
        <v>45809.49145833333</v>
      </c>
      <c r="B239" s="17">
        <v>27000</v>
      </c>
    </row>
    <row r="240" spans="1:2">
      <c r="A240" s="7">
        <v>45810.982037037036</v>
      </c>
      <c r="B240" s="17">
        <v>63000</v>
      </c>
    </row>
    <row r="241" spans="1:2">
      <c r="A241" s="7">
        <v>45811.591678240744</v>
      </c>
      <c r="B241" s="17">
        <v>82000</v>
      </c>
    </row>
    <row r="242" spans="1:2">
      <c r="A242" s="7">
        <v>45811.916342592594</v>
      </c>
      <c r="B242" s="17">
        <v>38500</v>
      </c>
    </row>
    <row r="243" spans="1:2">
      <c r="A243" s="7">
        <v>45812.958437499998</v>
      </c>
      <c r="B243" s="17">
        <v>26500</v>
      </c>
    </row>
    <row r="244" spans="1:2">
      <c r="A244" s="7">
        <v>45813.198009259257</v>
      </c>
      <c r="B244" s="17">
        <v>44500</v>
      </c>
    </row>
    <row r="245" spans="1:2">
      <c r="A245" s="7">
        <v>45813.363912037035</v>
      </c>
      <c r="B245" s="17">
        <v>39500</v>
      </c>
    </row>
    <row r="246" spans="1:2">
      <c r="A246" s="7">
        <v>45813.666238425925</v>
      </c>
      <c r="B246" s="17">
        <v>55500</v>
      </c>
    </row>
    <row r="247" spans="1:2">
      <c r="A247" s="7">
        <v>45813.743564814817</v>
      </c>
      <c r="B247" s="17">
        <v>89500</v>
      </c>
    </row>
    <row r="248" spans="1:2">
      <c r="A248" s="7">
        <v>45815.755601851852</v>
      </c>
      <c r="B248" s="17">
        <v>23000</v>
      </c>
    </row>
    <row r="249" spans="1:2">
      <c r="A249" s="7">
        <v>45815.89943287037</v>
      </c>
      <c r="B249" s="17">
        <v>41000</v>
      </c>
    </row>
    <row r="250" spans="1:2">
      <c r="A250" s="7">
        <v>45816.099340277775</v>
      </c>
      <c r="B250" s="17">
        <v>35500</v>
      </c>
    </row>
    <row r="251" spans="1:2">
      <c r="A251" s="7">
        <v>45817.506215277775</v>
      </c>
      <c r="B251" s="17">
        <v>126000</v>
      </c>
    </row>
    <row r="252" spans="1:2">
      <c r="A252" s="7">
        <v>45818.1</v>
      </c>
      <c r="B252" s="17">
        <v>49500</v>
      </c>
    </row>
    <row r="253" spans="1:2">
      <c r="A253" s="7">
        <v>45818.254861111112</v>
      </c>
      <c r="B253" s="17">
        <v>156500</v>
      </c>
    </row>
    <row r="254" spans="1:2">
      <c r="A254" s="7">
        <v>45819.383726851855</v>
      </c>
      <c r="B254" s="17">
        <v>59500</v>
      </c>
    </row>
    <row r="255" spans="1:2">
      <c r="A255" s="7">
        <v>45821.278495370374</v>
      </c>
      <c r="B255" s="17">
        <v>104000</v>
      </c>
    </row>
    <row r="256" spans="1:2">
      <c r="A256" s="7">
        <v>45821.683148148149</v>
      </c>
      <c r="B256" s="17">
        <v>82500</v>
      </c>
    </row>
    <row r="257" spans="1:2">
      <c r="A257" s="7">
        <v>45822.375543981485</v>
      </c>
      <c r="B257" s="17">
        <v>28500</v>
      </c>
    </row>
    <row r="258" spans="1:2">
      <c r="A258" s="7">
        <v>45823.001875000002</v>
      </c>
      <c r="B258" s="17">
        <v>96500</v>
      </c>
    </row>
    <row r="259" spans="1:2">
      <c r="A259" s="7">
        <v>45824.166018518517</v>
      </c>
      <c r="B259" s="17">
        <v>55000</v>
      </c>
    </row>
    <row r="260" spans="1:2">
      <c r="A260" s="7">
        <v>45825.14634259259</v>
      </c>
      <c r="B260" s="17">
        <v>39000</v>
      </c>
    </row>
    <row r="261" spans="1:2">
      <c r="A261" s="7">
        <v>45825.930405092593</v>
      </c>
      <c r="B261" s="17">
        <v>29500</v>
      </c>
    </row>
    <row r="262" spans="1:2">
      <c r="A262" s="7">
        <v>45826.67428240741</v>
      </c>
      <c r="B262" s="17">
        <v>38500</v>
      </c>
    </row>
    <row r="263" spans="1:2">
      <c r="A263" s="7">
        <v>45827.873483796298</v>
      </c>
      <c r="B263" s="17">
        <v>29000</v>
      </c>
    </row>
    <row r="264" spans="1:2">
      <c r="A264" s="7">
        <v>45827.922638888886</v>
      </c>
      <c r="B264" s="17">
        <v>111500</v>
      </c>
    </row>
    <row r="265" spans="1:2">
      <c r="A265" s="7">
        <v>45829.010659722226</v>
      </c>
      <c r="B265" s="17">
        <v>102500</v>
      </c>
    </row>
    <row r="266" spans="1:2">
      <c r="A266" s="7">
        <v>45829.419259259259</v>
      </c>
      <c r="B266" s="17">
        <v>41500</v>
      </c>
    </row>
    <row r="267" spans="1:2">
      <c r="A267" s="7">
        <v>45829.731111111112</v>
      </c>
      <c r="B267" s="17">
        <v>35500</v>
      </c>
    </row>
    <row r="268" spans="1:2">
      <c r="A268" s="7">
        <v>45830.255902777775</v>
      </c>
      <c r="B268" s="17">
        <v>26000</v>
      </c>
    </row>
    <row r="269" spans="1:2">
      <c r="A269" s="7">
        <v>45830.498159722221</v>
      </c>
      <c r="B269" s="17">
        <v>37000</v>
      </c>
    </row>
    <row r="270" spans="1:2">
      <c r="A270" s="7">
        <v>45831.164421296293</v>
      </c>
      <c r="B270" s="17">
        <v>37000</v>
      </c>
    </row>
    <row r="271" spans="1:2">
      <c r="A271" s="7">
        <v>45831.193749999999</v>
      </c>
      <c r="B271" s="17">
        <v>39500</v>
      </c>
    </row>
    <row r="272" spans="1:2">
      <c r="A272" s="7">
        <v>45831.749212962961</v>
      </c>
      <c r="B272" s="17">
        <v>124500</v>
      </c>
    </row>
    <row r="273" spans="1:2">
      <c r="A273" s="7">
        <v>45833.381874999999</v>
      </c>
      <c r="B273" s="17">
        <v>85500</v>
      </c>
    </row>
    <row r="274" spans="1:2">
      <c r="A274" s="7">
        <v>45834.03125</v>
      </c>
      <c r="B274" s="17">
        <v>77500</v>
      </c>
    </row>
    <row r="275" spans="1:2">
      <c r="A275" s="7">
        <v>45834.91746527778</v>
      </c>
      <c r="B275" s="17">
        <v>42000</v>
      </c>
    </row>
    <row r="276" spans="1:2">
      <c r="A276" s="7">
        <v>45836.572372685187</v>
      </c>
      <c r="B276" s="17">
        <v>66500</v>
      </c>
    </row>
    <row r="277" spans="1:2">
      <c r="A277" s="7">
        <v>45837.860798611109</v>
      </c>
      <c r="B277" s="17">
        <v>102000</v>
      </c>
    </row>
    <row r="278" spans="1:2">
      <c r="A278" s="7">
        <v>45837.863240740742</v>
      </c>
      <c r="B278" s="17">
        <v>30000</v>
      </c>
    </row>
    <row r="279" spans="1:2">
      <c r="A279" s="7">
        <v>45838.648680555554</v>
      </c>
      <c r="B279" s="17">
        <v>27500</v>
      </c>
    </row>
    <row r="280" spans="1:2">
      <c r="A280" s="6" t="s">
        <v>802</v>
      </c>
      <c r="B280" s="17">
        <v>3930500</v>
      </c>
    </row>
    <row r="281" spans="1:2">
      <c r="A281" s="7">
        <v>45839.137777777774</v>
      </c>
      <c r="B281" s="17">
        <v>86500</v>
      </c>
    </row>
    <row r="282" spans="1:2">
      <c r="A282" s="7">
        <v>45839.523090277777</v>
      </c>
      <c r="B282" s="17">
        <v>51500</v>
      </c>
    </row>
    <row r="283" spans="1:2">
      <c r="A283" s="7">
        <v>45840.108900462961</v>
      </c>
      <c r="B283" s="17">
        <v>56000</v>
      </c>
    </row>
    <row r="284" spans="1:2">
      <c r="A284" s="7">
        <v>45840.729201388887</v>
      </c>
      <c r="B284" s="17">
        <v>124500</v>
      </c>
    </row>
    <row r="285" spans="1:2">
      <c r="A285" s="7">
        <v>45841.041990740741</v>
      </c>
      <c r="B285" s="17">
        <v>65000</v>
      </c>
    </row>
    <row r="286" spans="1:2">
      <c r="A286" s="7">
        <v>45841.834918981483</v>
      </c>
      <c r="B286" s="17">
        <v>86500</v>
      </c>
    </row>
    <row r="287" spans="1:2">
      <c r="A287" s="7">
        <v>45842.396249999998</v>
      </c>
      <c r="B287" s="17">
        <v>24000</v>
      </c>
    </row>
    <row r="288" spans="1:2">
      <c r="A288" s="7">
        <v>45842.760613425926</v>
      </c>
      <c r="B288" s="17">
        <v>99500</v>
      </c>
    </row>
    <row r="289" spans="1:2">
      <c r="A289" s="7">
        <v>45843.716516203705</v>
      </c>
      <c r="B289" s="17">
        <v>32000</v>
      </c>
    </row>
    <row r="290" spans="1:2">
      <c r="A290" s="7">
        <v>45844.102372685185</v>
      </c>
      <c r="B290" s="17">
        <v>106000</v>
      </c>
    </row>
    <row r="291" spans="1:2">
      <c r="A291" s="7">
        <v>45844.33388888889</v>
      </c>
      <c r="B291" s="17">
        <v>87000</v>
      </c>
    </row>
    <row r="292" spans="1:2">
      <c r="A292" s="7">
        <v>45845.085694444446</v>
      </c>
      <c r="B292" s="17">
        <v>85000</v>
      </c>
    </row>
    <row r="293" spans="1:2">
      <c r="A293" s="7">
        <v>45847.275752314818</v>
      </c>
      <c r="B293" s="17">
        <v>39500</v>
      </c>
    </row>
    <row r="294" spans="1:2">
      <c r="A294" s="7">
        <v>45848.21230324074</v>
      </c>
      <c r="B294" s="17">
        <v>129500</v>
      </c>
    </row>
    <row r="295" spans="1:2">
      <c r="A295" s="7">
        <v>45848.480937499997</v>
      </c>
      <c r="B295" s="17">
        <v>39500</v>
      </c>
    </row>
    <row r="296" spans="1:2">
      <c r="A296" s="7">
        <v>45849.111747685187</v>
      </c>
      <c r="B296" s="17">
        <v>125000</v>
      </c>
    </row>
    <row r="297" spans="1:2">
      <c r="A297" s="7">
        <v>45849.382291666669</v>
      </c>
      <c r="B297" s="17">
        <v>102500</v>
      </c>
    </row>
    <row r="298" spans="1:2">
      <c r="A298" s="7">
        <v>45849.751111111109</v>
      </c>
      <c r="B298" s="17">
        <v>96500</v>
      </c>
    </row>
    <row r="299" spans="1:2">
      <c r="A299" s="7">
        <v>45849.93891203704</v>
      </c>
      <c r="B299" s="17">
        <v>203000</v>
      </c>
    </row>
    <row r="300" spans="1:2">
      <c r="A300" s="7">
        <v>45850.127187500002</v>
      </c>
      <c r="B300" s="17">
        <v>84000</v>
      </c>
    </row>
    <row r="301" spans="1:2">
      <c r="A301" s="7">
        <v>45850.339733796296</v>
      </c>
      <c r="B301" s="17">
        <v>43500</v>
      </c>
    </row>
    <row r="302" spans="1:2">
      <c r="A302" s="7">
        <v>45850.862129629626</v>
      </c>
      <c r="B302" s="17">
        <v>83000</v>
      </c>
    </row>
    <row r="303" spans="1:2">
      <c r="A303" s="7">
        <v>45851.051388888889</v>
      </c>
      <c r="B303" s="17">
        <v>90000</v>
      </c>
    </row>
    <row r="304" spans="1:2">
      <c r="A304" s="7">
        <v>45851.160740740743</v>
      </c>
      <c r="B304" s="17">
        <v>60500</v>
      </c>
    </row>
    <row r="305" spans="1:2">
      <c r="A305" s="7">
        <v>45851.710798611108</v>
      </c>
      <c r="B305" s="17">
        <v>154500</v>
      </c>
    </row>
    <row r="306" spans="1:2">
      <c r="A306" s="7">
        <v>45851.881122685183</v>
      </c>
      <c r="B306" s="17">
        <v>62000</v>
      </c>
    </row>
    <row r="307" spans="1:2">
      <c r="A307" s="7">
        <v>45853.999768518515</v>
      </c>
      <c r="B307" s="17">
        <v>184500</v>
      </c>
    </row>
    <row r="308" spans="1:2">
      <c r="A308" s="7">
        <v>45854.041562500002</v>
      </c>
      <c r="B308" s="17">
        <v>26500</v>
      </c>
    </row>
    <row r="309" spans="1:2">
      <c r="A309" s="7">
        <v>45855.855937499997</v>
      </c>
      <c r="B309" s="17">
        <v>96000</v>
      </c>
    </row>
    <row r="310" spans="1:2">
      <c r="A310" s="7">
        <v>45857.755740740744</v>
      </c>
      <c r="B310" s="17">
        <v>155000</v>
      </c>
    </row>
    <row r="311" spans="1:2">
      <c r="A311" s="7">
        <v>45858.357083333336</v>
      </c>
      <c r="B311" s="17">
        <v>33000</v>
      </c>
    </row>
    <row r="312" spans="1:2">
      <c r="A312" s="7">
        <v>45858.839050925926</v>
      </c>
      <c r="B312" s="17">
        <v>22500</v>
      </c>
    </row>
    <row r="313" spans="1:2">
      <c r="A313" s="7">
        <v>45861.295254629629</v>
      </c>
      <c r="B313" s="17">
        <v>61500</v>
      </c>
    </row>
    <row r="314" spans="1:2">
      <c r="A314" s="7">
        <v>45861.683657407404</v>
      </c>
      <c r="B314" s="17">
        <v>100000</v>
      </c>
    </row>
    <row r="315" spans="1:2">
      <c r="A315" s="7">
        <v>45861.943738425929</v>
      </c>
      <c r="B315" s="17">
        <v>43500</v>
      </c>
    </row>
    <row r="316" spans="1:2">
      <c r="A316" s="7">
        <v>45862.577962962961</v>
      </c>
      <c r="B316" s="17">
        <v>31500</v>
      </c>
    </row>
    <row r="317" spans="1:2">
      <c r="A317" s="7">
        <v>45864.211504629631</v>
      </c>
      <c r="B317" s="17">
        <v>119000</v>
      </c>
    </row>
    <row r="318" spans="1:2">
      <c r="A318" s="7">
        <v>45864.765706018516</v>
      </c>
      <c r="B318" s="17">
        <v>164500</v>
      </c>
    </row>
    <row r="319" spans="1:2">
      <c r="A319" s="7">
        <v>45865.032465277778</v>
      </c>
      <c r="B319" s="17">
        <v>72500</v>
      </c>
    </row>
    <row r="320" spans="1:2">
      <c r="A320" s="7">
        <v>45865.815567129626</v>
      </c>
      <c r="B320" s="17">
        <v>61500</v>
      </c>
    </row>
    <row r="321" spans="1:2">
      <c r="A321" s="7">
        <v>45865.917858796296</v>
      </c>
      <c r="B321" s="17">
        <v>29000</v>
      </c>
    </row>
    <row r="322" spans="1:2">
      <c r="A322" s="7">
        <v>45867.186712962961</v>
      </c>
      <c r="B322" s="17">
        <v>45500</v>
      </c>
    </row>
    <row r="323" spans="1:2">
      <c r="A323" s="7">
        <v>45867.498831018522</v>
      </c>
      <c r="B323" s="17">
        <v>129000</v>
      </c>
    </row>
    <row r="324" spans="1:2">
      <c r="A324" s="7">
        <v>45867.602002314816</v>
      </c>
      <c r="B324" s="17">
        <v>124000</v>
      </c>
    </row>
    <row r="325" spans="1:2">
      <c r="A325" s="7">
        <v>45867.840902777774</v>
      </c>
      <c r="B325" s="17">
        <v>53500</v>
      </c>
    </row>
    <row r="326" spans="1:2">
      <c r="A326" s="7">
        <v>45867.869756944441</v>
      </c>
      <c r="B326" s="17">
        <v>73500</v>
      </c>
    </row>
    <row r="327" spans="1:2">
      <c r="A327" s="7">
        <v>45869.945057870369</v>
      </c>
      <c r="B327" s="17">
        <v>88000</v>
      </c>
    </row>
    <row r="328" spans="1:2">
      <c r="A328" s="6" t="s">
        <v>803</v>
      </c>
      <c r="B328" s="17">
        <v>2251000</v>
      </c>
    </row>
    <row r="329" spans="1:2">
      <c r="A329" s="7">
        <v>45873.657210648147</v>
      </c>
      <c r="B329" s="17">
        <v>192000</v>
      </c>
    </row>
    <row r="330" spans="1:2">
      <c r="A330" s="7">
        <v>45873.840497685182</v>
      </c>
      <c r="B330" s="17">
        <v>73500</v>
      </c>
    </row>
    <row r="331" spans="1:2">
      <c r="A331" s="7">
        <v>45874.754432870373</v>
      </c>
      <c r="B331" s="17">
        <v>81500</v>
      </c>
    </row>
    <row r="332" spans="1:2">
      <c r="A332" s="7">
        <v>45875.417256944442</v>
      </c>
      <c r="B332" s="17">
        <v>133500</v>
      </c>
    </row>
    <row r="333" spans="1:2">
      <c r="A333" s="7">
        <v>45876.657500000001</v>
      </c>
      <c r="B333" s="17">
        <v>51000</v>
      </c>
    </row>
    <row r="334" spans="1:2">
      <c r="A334" s="7">
        <v>45878.16605324074</v>
      </c>
      <c r="B334" s="17">
        <v>21500</v>
      </c>
    </row>
    <row r="335" spans="1:2">
      <c r="A335" s="7">
        <v>45879.021585648145</v>
      </c>
      <c r="B335" s="17">
        <v>66000</v>
      </c>
    </row>
    <row r="336" spans="1:2">
      <c r="A336" s="7">
        <v>45879.177465277775</v>
      </c>
      <c r="B336" s="17">
        <v>74000</v>
      </c>
    </row>
    <row r="337" spans="1:2">
      <c r="A337" s="7">
        <v>45879.811666666668</v>
      </c>
      <c r="B337" s="17">
        <v>110000</v>
      </c>
    </row>
    <row r="338" spans="1:2">
      <c r="A338" s="7">
        <v>45881.070567129631</v>
      </c>
      <c r="B338" s="17">
        <v>20000</v>
      </c>
    </row>
    <row r="339" spans="1:2">
      <c r="A339" s="7">
        <v>45881.967997685184</v>
      </c>
      <c r="B339" s="17">
        <v>37500</v>
      </c>
    </row>
    <row r="340" spans="1:2">
      <c r="A340" s="7">
        <v>45883.610300925924</v>
      </c>
      <c r="B340" s="17">
        <v>56000</v>
      </c>
    </row>
    <row r="341" spans="1:2">
      <c r="A341" s="7">
        <v>45883.827685185184</v>
      </c>
      <c r="B341" s="17">
        <v>27000</v>
      </c>
    </row>
    <row r="342" spans="1:2">
      <c r="A342" s="7">
        <v>45885.764236111114</v>
      </c>
      <c r="B342" s="17">
        <v>21000</v>
      </c>
    </row>
    <row r="343" spans="1:2">
      <c r="A343" s="7">
        <v>45885.816828703704</v>
      </c>
      <c r="B343" s="17">
        <v>122500</v>
      </c>
    </row>
    <row r="344" spans="1:2">
      <c r="A344" s="7">
        <v>45886.001307870371</v>
      </c>
      <c r="B344" s="17">
        <v>30000</v>
      </c>
    </row>
    <row r="345" spans="1:2">
      <c r="A345" s="7">
        <v>45887.270509259259</v>
      </c>
      <c r="B345" s="17">
        <v>42000</v>
      </c>
    </row>
    <row r="346" spans="1:2">
      <c r="A346" s="7">
        <v>45887.83121527778</v>
      </c>
      <c r="B346" s="17">
        <v>36000</v>
      </c>
    </row>
    <row r="347" spans="1:2">
      <c r="A347" s="7">
        <v>45890.504224537035</v>
      </c>
      <c r="B347" s="17">
        <v>75000</v>
      </c>
    </row>
    <row r="348" spans="1:2">
      <c r="A348" s="7">
        <v>45890.77815972222</v>
      </c>
      <c r="B348" s="17">
        <v>47000</v>
      </c>
    </row>
    <row r="349" spans="1:2">
      <c r="A349" s="7">
        <v>45890.995520833334</v>
      </c>
      <c r="B349" s="17">
        <v>80500</v>
      </c>
    </row>
    <row r="350" spans="1:2">
      <c r="A350" s="7">
        <v>45892.265821759262</v>
      </c>
      <c r="B350" s="17">
        <v>42000</v>
      </c>
    </row>
    <row r="351" spans="1:2">
      <c r="A351" s="7">
        <v>45892.278449074074</v>
      </c>
      <c r="B351" s="17">
        <v>56500</v>
      </c>
    </row>
    <row r="352" spans="1:2">
      <c r="A352" s="7">
        <v>45892.312291666669</v>
      </c>
      <c r="B352" s="17">
        <v>73000</v>
      </c>
    </row>
    <row r="353" spans="1:2">
      <c r="A353" s="7">
        <v>45894.097187500003</v>
      </c>
      <c r="B353" s="17">
        <v>69500</v>
      </c>
    </row>
    <row r="354" spans="1:2">
      <c r="A354" s="7">
        <v>45894.837002314816</v>
      </c>
      <c r="B354" s="17">
        <v>62000</v>
      </c>
    </row>
    <row r="355" spans="1:2">
      <c r="A355" s="7">
        <v>45894.93509259259</v>
      </c>
      <c r="B355" s="17">
        <v>45000</v>
      </c>
    </row>
    <row r="356" spans="1:2">
      <c r="A356" s="7">
        <v>45896.063622685186</v>
      </c>
      <c r="B356" s="17">
        <v>89000</v>
      </c>
    </row>
    <row r="357" spans="1:2">
      <c r="A357" s="7">
        <v>45898.129826388889</v>
      </c>
      <c r="B357" s="17">
        <v>95500</v>
      </c>
    </row>
    <row r="358" spans="1:2">
      <c r="A358" s="7">
        <v>45898.275509259256</v>
      </c>
      <c r="B358" s="17">
        <v>35000</v>
      </c>
    </row>
    <row r="359" spans="1:2">
      <c r="A359" s="7">
        <v>45898.603333333333</v>
      </c>
      <c r="B359" s="17">
        <v>38500</v>
      </c>
    </row>
    <row r="360" spans="1:2">
      <c r="A360" s="7">
        <v>45898.887835648151</v>
      </c>
      <c r="B360" s="17">
        <v>119500</v>
      </c>
    </row>
    <row r="361" spans="1:2">
      <c r="A361" s="7">
        <v>45898.914259259262</v>
      </c>
      <c r="B361" s="17">
        <v>36000</v>
      </c>
    </row>
    <row r="362" spans="1:2">
      <c r="A362" s="7">
        <v>45899.892118055555</v>
      </c>
      <c r="B362" s="17">
        <v>52500</v>
      </c>
    </row>
    <row r="363" spans="1:2">
      <c r="A363" s="7">
        <v>45900.21634259259</v>
      </c>
      <c r="B363" s="17">
        <v>39500</v>
      </c>
    </row>
    <row r="364" spans="1:2">
      <c r="A364" s="6" t="s">
        <v>804</v>
      </c>
      <c r="B364" s="17">
        <v>2941000</v>
      </c>
    </row>
    <row r="365" spans="1:2">
      <c r="A365" s="7">
        <v>45901.166921296295</v>
      </c>
      <c r="B365" s="17">
        <v>40500</v>
      </c>
    </row>
    <row r="366" spans="1:2">
      <c r="A366" s="7">
        <v>45901.324826388889</v>
      </c>
      <c r="B366" s="17">
        <v>20500</v>
      </c>
    </row>
    <row r="367" spans="1:2">
      <c r="A367" s="7">
        <v>45901.327013888891</v>
      </c>
      <c r="B367" s="17">
        <v>57500</v>
      </c>
    </row>
    <row r="368" spans="1:2">
      <c r="A368" s="7">
        <v>45901.492523148147</v>
      </c>
      <c r="B368" s="17">
        <v>20500</v>
      </c>
    </row>
    <row r="369" spans="1:2">
      <c r="A369" s="7">
        <v>45901.540625000001</v>
      </c>
      <c r="B369" s="17">
        <v>128500</v>
      </c>
    </row>
    <row r="370" spans="1:2">
      <c r="A370" s="7">
        <v>45903.201851851853</v>
      </c>
      <c r="B370" s="17">
        <v>26500</v>
      </c>
    </row>
    <row r="371" spans="1:2">
      <c r="A371" s="7">
        <v>45904.399861111109</v>
      </c>
      <c r="B371" s="17">
        <v>34000</v>
      </c>
    </row>
    <row r="372" spans="1:2">
      <c r="A372" s="7">
        <v>45906.805821759262</v>
      </c>
      <c r="B372" s="17">
        <v>72500</v>
      </c>
    </row>
    <row r="373" spans="1:2">
      <c r="A373" s="7">
        <v>45908.133946759262</v>
      </c>
      <c r="B373" s="17">
        <v>38500</v>
      </c>
    </row>
    <row r="374" spans="1:2">
      <c r="A374" s="7">
        <v>45908.722534722219</v>
      </c>
      <c r="B374" s="17">
        <v>115500</v>
      </c>
    </row>
    <row r="375" spans="1:2">
      <c r="A375" s="7">
        <v>45908.806574074071</v>
      </c>
      <c r="B375" s="17">
        <v>79500</v>
      </c>
    </row>
    <row r="376" spans="1:2">
      <c r="A376" s="7">
        <v>45908.865810185183</v>
      </c>
      <c r="B376" s="17">
        <v>68000</v>
      </c>
    </row>
    <row r="377" spans="1:2">
      <c r="A377" s="7">
        <v>45909.196979166663</v>
      </c>
      <c r="B377" s="17">
        <v>13500</v>
      </c>
    </row>
    <row r="378" spans="1:2">
      <c r="A378" s="7">
        <v>45909.345127314817</v>
      </c>
      <c r="B378" s="17">
        <v>39000</v>
      </c>
    </row>
    <row r="379" spans="1:2">
      <c r="A379" s="7">
        <v>45909.762060185189</v>
      </c>
      <c r="B379" s="17">
        <v>30500</v>
      </c>
    </row>
    <row r="380" spans="1:2">
      <c r="A380" s="7">
        <v>45910.789282407408</v>
      </c>
      <c r="B380" s="17">
        <v>69500</v>
      </c>
    </row>
    <row r="381" spans="1:2">
      <c r="A381" s="7">
        <v>45911.472210648149</v>
      </c>
      <c r="B381" s="17">
        <v>52500</v>
      </c>
    </row>
    <row r="382" spans="1:2">
      <c r="A382" s="7">
        <v>45911.476134259261</v>
      </c>
      <c r="B382" s="17">
        <v>89000</v>
      </c>
    </row>
    <row r="383" spans="1:2">
      <c r="A383" s="7">
        <v>45911.745393518519</v>
      </c>
      <c r="B383" s="17">
        <v>138500</v>
      </c>
    </row>
    <row r="384" spans="1:2">
      <c r="A384" s="7">
        <v>45912.221018518518</v>
      </c>
      <c r="B384" s="17">
        <v>39000</v>
      </c>
    </row>
    <row r="385" spans="1:2">
      <c r="A385" s="7">
        <v>45912.618425925924</v>
      </c>
      <c r="B385" s="17">
        <v>131000</v>
      </c>
    </row>
    <row r="386" spans="1:2">
      <c r="A386" s="7">
        <v>45913.286620370367</v>
      </c>
      <c r="B386" s="17">
        <v>64500</v>
      </c>
    </row>
    <row r="387" spans="1:2">
      <c r="A387" s="7">
        <v>45913.374236111114</v>
      </c>
      <c r="B387" s="17">
        <v>222000</v>
      </c>
    </row>
    <row r="388" spans="1:2">
      <c r="A388" s="7">
        <v>45914.149201388886</v>
      </c>
      <c r="B388" s="17">
        <v>27000</v>
      </c>
    </row>
    <row r="389" spans="1:2">
      <c r="A389" s="7">
        <v>45914.475729166668</v>
      </c>
      <c r="B389" s="17">
        <v>48000</v>
      </c>
    </row>
    <row r="390" spans="1:2">
      <c r="A390" s="7">
        <v>45914.535000000003</v>
      </c>
      <c r="B390" s="17">
        <v>91500</v>
      </c>
    </row>
    <row r="391" spans="1:2">
      <c r="A391" s="7">
        <v>45916.17359953704</v>
      </c>
      <c r="B391" s="17">
        <v>41000</v>
      </c>
    </row>
    <row r="392" spans="1:2">
      <c r="A392" s="7">
        <v>45917.071875000001</v>
      </c>
      <c r="B392" s="17">
        <v>140500</v>
      </c>
    </row>
    <row r="393" spans="1:2">
      <c r="A393" s="7">
        <v>45918.066076388888</v>
      </c>
      <c r="B393" s="17">
        <v>27500</v>
      </c>
    </row>
    <row r="394" spans="1:2">
      <c r="A394" s="7">
        <v>45918.196215277778</v>
      </c>
      <c r="B394" s="17">
        <v>35000</v>
      </c>
    </row>
    <row r="395" spans="1:2">
      <c r="A395" s="7">
        <v>45918.669027777774</v>
      </c>
      <c r="B395" s="17">
        <v>74000</v>
      </c>
    </row>
    <row r="396" spans="1:2">
      <c r="A396" s="7">
        <v>45919.097002314818</v>
      </c>
      <c r="B396" s="17">
        <v>65000</v>
      </c>
    </row>
    <row r="397" spans="1:2">
      <c r="A397" s="7">
        <v>45919.90347222222</v>
      </c>
      <c r="B397" s="17">
        <v>31500</v>
      </c>
    </row>
    <row r="398" spans="1:2">
      <c r="A398" s="7">
        <v>45920.641250000001</v>
      </c>
      <c r="B398" s="17">
        <v>69000</v>
      </c>
    </row>
    <row r="399" spans="1:2">
      <c r="A399" s="7">
        <v>45921.198506944442</v>
      </c>
      <c r="B399" s="17">
        <v>44500</v>
      </c>
    </row>
    <row r="400" spans="1:2">
      <c r="A400" s="7">
        <v>45923.087210648147</v>
      </c>
      <c r="B400" s="17">
        <v>23500</v>
      </c>
    </row>
    <row r="401" spans="1:2">
      <c r="A401" s="7">
        <v>45923.484976851854</v>
      </c>
      <c r="B401" s="17">
        <v>65000</v>
      </c>
    </row>
    <row r="402" spans="1:2">
      <c r="A402" s="7">
        <v>45923.710162037038</v>
      </c>
      <c r="B402" s="17">
        <v>33000</v>
      </c>
    </row>
    <row r="403" spans="1:2">
      <c r="A403" s="7">
        <v>45923.81931712963</v>
      </c>
      <c r="B403" s="17">
        <v>11000</v>
      </c>
    </row>
    <row r="404" spans="1:2">
      <c r="A404" s="7">
        <v>45923.909016203703</v>
      </c>
      <c r="B404" s="17">
        <v>14000</v>
      </c>
    </row>
    <row r="405" spans="1:2">
      <c r="A405" s="7">
        <v>45924.445428240739</v>
      </c>
      <c r="B405" s="17">
        <v>81000</v>
      </c>
    </row>
    <row r="406" spans="1:2">
      <c r="A406" s="7">
        <v>45925.228495370371</v>
      </c>
      <c r="B406" s="17">
        <v>53500</v>
      </c>
    </row>
    <row r="407" spans="1:2">
      <c r="A407" s="7">
        <v>45925.95621527778</v>
      </c>
      <c r="B407" s="17">
        <v>59000</v>
      </c>
    </row>
    <row r="408" spans="1:2">
      <c r="A408" s="7">
        <v>45926.99287037037</v>
      </c>
      <c r="B408" s="17">
        <v>37000</v>
      </c>
    </row>
    <row r="409" spans="1:2">
      <c r="A409" s="7">
        <v>45927.255509259259</v>
      </c>
      <c r="B409" s="17">
        <v>36500</v>
      </c>
    </row>
    <row r="410" spans="1:2">
      <c r="A410" s="7">
        <v>45927.998680555553</v>
      </c>
      <c r="B410" s="17">
        <v>83000</v>
      </c>
    </row>
    <row r="411" spans="1:2">
      <c r="A411" s="7">
        <v>45928.086076388892</v>
      </c>
      <c r="B411" s="17">
        <v>68000</v>
      </c>
    </row>
    <row r="412" spans="1:2">
      <c r="A412" s="7">
        <v>45929.213414351849</v>
      </c>
      <c r="B412" s="17">
        <v>91000</v>
      </c>
    </row>
    <row r="413" spans="1:2">
      <c r="A413" s="6" t="s">
        <v>805</v>
      </c>
      <c r="B413" s="17">
        <v>2642500</v>
      </c>
    </row>
    <row r="414" spans="1:2">
      <c r="A414" s="7">
        <v>45931.317696759259</v>
      </c>
      <c r="B414" s="17">
        <v>183000</v>
      </c>
    </row>
    <row r="415" spans="1:2">
      <c r="A415" s="7">
        <v>45932.08625</v>
      </c>
      <c r="B415" s="17">
        <v>38000</v>
      </c>
    </row>
    <row r="416" spans="1:2">
      <c r="A416" s="7">
        <v>45932.953159722223</v>
      </c>
      <c r="B416" s="17">
        <v>119500</v>
      </c>
    </row>
    <row r="417" spans="1:2">
      <c r="A417" s="7">
        <v>45933.084699074076</v>
      </c>
      <c r="B417" s="17">
        <v>57000</v>
      </c>
    </row>
    <row r="418" spans="1:2">
      <c r="A418" s="7">
        <v>45933.933171296296</v>
      </c>
      <c r="B418" s="17">
        <v>98000</v>
      </c>
    </row>
    <row r="419" spans="1:2">
      <c r="A419" s="7">
        <v>45934.614918981482</v>
      </c>
      <c r="B419" s="17">
        <v>166500</v>
      </c>
    </row>
    <row r="420" spans="1:2">
      <c r="A420" s="7">
        <v>45934.978981481479</v>
      </c>
      <c r="B420" s="17">
        <v>109500</v>
      </c>
    </row>
    <row r="421" spans="1:2">
      <c r="A421" s="7">
        <v>45935.254178240742</v>
      </c>
      <c r="B421" s="17">
        <v>134000</v>
      </c>
    </row>
    <row r="422" spans="1:2">
      <c r="A422" s="7">
        <v>45936.275185185186</v>
      </c>
      <c r="B422" s="17">
        <v>66000</v>
      </c>
    </row>
    <row r="423" spans="1:2">
      <c r="A423" s="7">
        <v>45936.850138888891</v>
      </c>
      <c r="B423" s="17">
        <v>28000</v>
      </c>
    </row>
    <row r="424" spans="1:2">
      <c r="A424" s="7">
        <v>45936.977430555555</v>
      </c>
      <c r="B424" s="17">
        <v>68000</v>
      </c>
    </row>
    <row r="425" spans="1:2">
      <c r="A425" s="7">
        <v>45937.242881944447</v>
      </c>
      <c r="B425" s="17">
        <v>53500</v>
      </c>
    </row>
    <row r="426" spans="1:2">
      <c r="A426" s="7">
        <v>45937.655671296299</v>
      </c>
      <c r="B426" s="17">
        <v>36500</v>
      </c>
    </row>
    <row r="427" spans="1:2">
      <c r="A427" s="7">
        <v>45938.604907407411</v>
      </c>
      <c r="B427" s="17">
        <v>57000</v>
      </c>
    </row>
    <row r="428" spans="1:2">
      <c r="A428" s="7">
        <v>45939.192731481482</v>
      </c>
      <c r="B428" s="17">
        <v>42500</v>
      </c>
    </row>
    <row r="429" spans="1:2">
      <c r="A429" s="7">
        <v>45942.402199074073</v>
      </c>
      <c r="B429" s="17">
        <v>19500</v>
      </c>
    </row>
    <row r="430" spans="1:2">
      <c r="A430" s="7">
        <v>45944.661527777775</v>
      </c>
      <c r="B430" s="17">
        <v>16500</v>
      </c>
    </row>
    <row r="431" spans="1:2">
      <c r="A431" s="7">
        <v>45944.8590625</v>
      </c>
      <c r="B431" s="17">
        <v>64500</v>
      </c>
    </row>
    <row r="432" spans="1:2">
      <c r="A432" s="7">
        <v>45949.275787037041</v>
      </c>
      <c r="B432" s="17">
        <v>48500</v>
      </c>
    </row>
    <row r="433" spans="1:2">
      <c r="A433" s="7">
        <v>45949.591851851852</v>
      </c>
      <c r="B433" s="17">
        <v>24500</v>
      </c>
    </row>
    <row r="434" spans="1:2">
      <c r="A434" s="7">
        <v>45949.879074074073</v>
      </c>
      <c r="B434" s="17">
        <v>66000</v>
      </c>
    </row>
    <row r="435" spans="1:2">
      <c r="A435" s="7">
        <v>45950.687800925924</v>
      </c>
      <c r="B435" s="17">
        <v>48500</v>
      </c>
    </row>
    <row r="436" spans="1:2">
      <c r="A436" s="7">
        <v>45950.836273148147</v>
      </c>
      <c r="B436" s="17">
        <v>148000</v>
      </c>
    </row>
    <row r="437" spans="1:2">
      <c r="A437" s="7">
        <v>45951.160844907405</v>
      </c>
      <c r="B437" s="17">
        <v>54500</v>
      </c>
    </row>
    <row r="438" spans="1:2">
      <c r="A438" s="7">
        <v>45952.174756944441</v>
      </c>
      <c r="B438" s="17">
        <v>96500</v>
      </c>
    </row>
    <row r="439" spans="1:2">
      <c r="A439" s="7">
        <v>45953.837546296294</v>
      </c>
      <c r="B439" s="17">
        <v>55000</v>
      </c>
    </row>
    <row r="440" spans="1:2">
      <c r="A440" s="7">
        <v>45954.196145833332</v>
      </c>
      <c r="B440" s="17">
        <v>123500</v>
      </c>
    </row>
    <row r="441" spans="1:2">
      <c r="A441" s="7">
        <v>45955.152511574073</v>
      </c>
      <c r="B441" s="17">
        <v>63500</v>
      </c>
    </row>
    <row r="442" spans="1:2">
      <c r="A442" s="7">
        <v>45955.258530092593</v>
      </c>
      <c r="B442" s="17">
        <v>18500</v>
      </c>
    </row>
    <row r="443" spans="1:2">
      <c r="A443" s="7">
        <v>45955.357106481482</v>
      </c>
      <c r="B443" s="17">
        <v>68500</v>
      </c>
    </row>
    <row r="444" spans="1:2">
      <c r="A444" s="7">
        <v>45956.54959490741</v>
      </c>
      <c r="B444" s="17">
        <v>59000</v>
      </c>
    </row>
    <row r="445" spans="1:2">
      <c r="A445" s="7">
        <v>45956.7965625</v>
      </c>
      <c r="B445" s="17">
        <v>65000</v>
      </c>
    </row>
    <row r="446" spans="1:2">
      <c r="A446" s="7">
        <v>45956.928680555553</v>
      </c>
      <c r="B446" s="17">
        <v>78500</v>
      </c>
    </row>
    <row r="447" spans="1:2">
      <c r="A447" s="7">
        <v>45956.990983796299</v>
      </c>
      <c r="B447" s="17">
        <v>65500</v>
      </c>
    </row>
    <row r="448" spans="1:2">
      <c r="A448" s="7">
        <v>45957.269895833335</v>
      </c>
      <c r="B448" s="17">
        <v>92000</v>
      </c>
    </row>
    <row r="449" spans="1:2">
      <c r="A449" s="7">
        <v>45957.583796296298</v>
      </c>
      <c r="B449" s="17">
        <v>70000</v>
      </c>
    </row>
    <row r="450" spans="1:2">
      <c r="A450" s="7">
        <v>45959.850185185183</v>
      </c>
      <c r="B450" s="17">
        <v>39500</v>
      </c>
    </row>
    <row r="451" spans="1:2">
      <c r="A451" s="6" t="s">
        <v>806</v>
      </c>
      <c r="B451" s="17">
        <v>2809500</v>
      </c>
    </row>
    <row r="452" spans="1:2">
      <c r="A452" s="7">
        <v>45962.730925925927</v>
      </c>
      <c r="B452" s="17">
        <v>41000</v>
      </c>
    </row>
    <row r="453" spans="1:2">
      <c r="A453" s="7">
        <v>45963.467951388891</v>
      </c>
      <c r="B453" s="17">
        <v>43500</v>
      </c>
    </row>
    <row r="454" spans="1:2">
      <c r="A454" s="7">
        <v>45963.912777777776</v>
      </c>
      <c r="B454" s="17">
        <v>39500</v>
      </c>
    </row>
    <row r="455" spans="1:2">
      <c r="A455" s="7">
        <v>45964.024953703702</v>
      </c>
      <c r="B455" s="17">
        <v>28000</v>
      </c>
    </row>
    <row r="456" spans="1:2">
      <c r="A456" s="7">
        <v>45964.384467592594</v>
      </c>
      <c r="B456" s="17">
        <v>58000</v>
      </c>
    </row>
    <row r="457" spans="1:2">
      <c r="A457" s="7">
        <v>45965.059687499997</v>
      </c>
      <c r="B457" s="17">
        <v>63000</v>
      </c>
    </row>
    <row r="458" spans="1:2">
      <c r="A458" s="7">
        <v>45965.280300925922</v>
      </c>
      <c r="B458" s="17">
        <v>58500</v>
      </c>
    </row>
    <row r="459" spans="1:2">
      <c r="A459" s="7">
        <v>45965.672465277778</v>
      </c>
      <c r="B459" s="17">
        <v>45000</v>
      </c>
    </row>
    <row r="460" spans="1:2">
      <c r="A460" s="7">
        <v>45967.287511574075</v>
      </c>
      <c r="B460" s="17">
        <v>24500</v>
      </c>
    </row>
    <row r="461" spans="1:2">
      <c r="A461" s="7">
        <v>45967.364849537036</v>
      </c>
      <c r="B461" s="17">
        <v>90500</v>
      </c>
    </row>
    <row r="462" spans="1:2">
      <c r="A462" s="7">
        <v>45967.412754629629</v>
      </c>
      <c r="B462" s="17">
        <v>41500</v>
      </c>
    </row>
    <row r="463" spans="1:2">
      <c r="A463" s="7">
        <v>45967.937986111108</v>
      </c>
      <c r="B463" s="17">
        <v>63000</v>
      </c>
    </row>
    <row r="464" spans="1:2">
      <c r="A464" s="7">
        <v>45968.712638888886</v>
      </c>
      <c r="B464" s="17">
        <v>99000</v>
      </c>
    </row>
    <row r="465" spans="1:2">
      <c r="A465" s="7">
        <v>45972.467499999999</v>
      </c>
      <c r="B465" s="17">
        <v>125500</v>
      </c>
    </row>
    <row r="466" spans="1:2">
      <c r="A466" s="7">
        <v>45973.813622685186</v>
      </c>
      <c r="B466" s="17">
        <v>40500</v>
      </c>
    </row>
    <row r="467" spans="1:2">
      <c r="A467" s="7">
        <v>45974.502546296295</v>
      </c>
      <c r="B467" s="17">
        <v>101000</v>
      </c>
    </row>
    <row r="468" spans="1:2">
      <c r="A468" s="7">
        <v>45974.5390625</v>
      </c>
      <c r="B468" s="17">
        <v>75500</v>
      </c>
    </row>
    <row r="469" spans="1:2">
      <c r="A469" s="7">
        <v>45975.344351851854</v>
      </c>
      <c r="B469" s="17">
        <v>25500</v>
      </c>
    </row>
    <row r="470" spans="1:2">
      <c r="A470" s="7">
        <v>45975.60796296296</v>
      </c>
      <c r="B470" s="17">
        <v>19500</v>
      </c>
    </row>
    <row r="471" spans="1:2">
      <c r="A471" s="7">
        <v>45975.671805555554</v>
      </c>
      <c r="B471" s="17">
        <v>100500</v>
      </c>
    </row>
    <row r="472" spans="1:2">
      <c r="A472" s="7">
        <v>45975.704780092594</v>
      </c>
      <c r="B472" s="17">
        <v>91000</v>
      </c>
    </row>
    <row r="473" spans="1:2">
      <c r="A473" s="7">
        <v>45975.748229166667</v>
      </c>
      <c r="B473" s="17">
        <v>137000</v>
      </c>
    </row>
    <row r="474" spans="1:2">
      <c r="A474" s="7">
        <v>45978.555590277778</v>
      </c>
      <c r="B474" s="17">
        <v>64500</v>
      </c>
    </row>
    <row r="475" spans="1:2">
      <c r="A475" s="7">
        <v>45979.538182870368</v>
      </c>
      <c r="B475" s="17">
        <v>66000</v>
      </c>
    </row>
    <row r="476" spans="1:2">
      <c r="A476" s="7">
        <v>45979.788402777776</v>
      </c>
      <c r="B476" s="17">
        <v>37000</v>
      </c>
    </row>
    <row r="477" spans="1:2">
      <c r="A477" s="7">
        <v>45979.905266203707</v>
      </c>
      <c r="B477" s="17">
        <v>49000</v>
      </c>
    </row>
    <row r="478" spans="1:2">
      <c r="A478" s="7">
        <v>45982.376863425925</v>
      </c>
      <c r="B478" s="17">
        <v>74000</v>
      </c>
    </row>
    <row r="479" spans="1:2">
      <c r="A479" s="7">
        <v>45982.938622685186</v>
      </c>
      <c r="B479" s="17">
        <v>55500</v>
      </c>
    </row>
    <row r="480" spans="1:2">
      <c r="A480" s="7">
        <v>45983.04724537037</v>
      </c>
      <c r="B480" s="17">
        <v>41000</v>
      </c>
    </row>
    <row r="481" spans="1:2">
      <c r="A481" s="7">
        <v>45983.545335648145</v>
      </c>
      <c r="B481" s="17">
        <v>90500</v>
      </c>
    </row>
    <row r="482" spans="1:2">
      <c r="A482" s="7">
        <v>45984.086365740739</v>
      </c>
      <c r="B482" s="17">
        <v>64500</v>
      </c>
    </row>
    <row r="483" spans="1:2">
      <c r="A483" s="7">
        <v>45985.166481481479</v>
      </c>
      <c r="B483" s="17">
        <v>37000</v>
      </c>
    </row>
    <row r="484" spans="1:2">
      <c r="A484" s="7">
        <v>45986.031331018516</v>
      </c>
      <c r="B484" s="17">
        <v>44000</v>
      </c>
    </row>
    <row r="485" spans="1:2">
      <c r="A485" s="7">
        <v>45986.09883101852</v>
      </c>
      <c r="B485" s="17">
        <v>61000</v>
      </c>
    </row>
    <row r="486" spans="1:2">
      <c r="A486" s="7">
        <v>45986.382453703707</v>
      </c>
      <c r="B486" s="17">
        <v>120000</v>
      </c>
    </row>
    <row r="487" spans="1:2">
      <c r="A487" s="7">
        <v>45986.599664351852</v>
      </c>
      <c r="B487" s="17">
        <v>28500</v>
      </c>
    </row>
    <row r="488" spans="1:2">
      <c r="A488" s="7">
        <v>45988.131284722222</v>
      </c>
      <c r="B488" s="17">
        <v>120500</v>
      </c>
    </row>
    <row r="489" spans="1:2">
      <c r="A489" s="7">
        <v>45988.228101851855</v>
      </c>
      <c r="B489" s="17">
        <v>48000</v>
      </c>
    </row>
    <row r="490" spans="1:2">
      <c r="A490" s="7">
        <v>45988.490231481483</v>
      </c>
      <c r="B490" s="17">
        <v>60000</v>
      </c>
    </row>
    <row r="491" spans="1:2">
      <c r="A491" s="7">
        <v>45989.347094907411</v>
      </c>
      <c r="B491" s="17">
        <v>76000</v>
      </c>
    </row>
    <row r="492" spans="1:2">
      <c r="A492" s="7">
        <v>45990.506493055553</v>
      </c>
      <c r="B492" s="17">
        <v>36500</v>
      </c>
    </row>
    <row r="493" spans="1:2">
      <c r="A493" s="7">
        <v>45990.730243055557</v>
      </c>
      <c r="B493" s="17">
        <v>93000</v>
      </c>
    </row>
    <row r="494" spans="1:2">
      <c r="A494" s="7">
        <v>45991.547638888886</v>
      </c>
      <c r="B494" s="17">
        <v>67500</v>
      </c>
    </row>
    <row r="495" spans="1:2">
      <c r="A495" s="7">
        <v>45991.690787037034</v>
      </c>
      <c r="B495" s="17">
        <v>64500</v>
      </c>
    </row>
    <row r="496" spans="1:2">
      <c r="A496" s="6" t="s">
        <v>807</v>
      </c>
      <c r="B496" s="17">
        <v>1074500</v>
      </c>
    </row>
    <row r="497" spans="1:2">
      <c r="A497" s="7">
        <v>45992.657719907409</v>
      </c>
      <c r="B497" s="17">
        <v>102000</v>
      </c>
    </row>
    <row r="498" spans="1:2">
      <c r="A498" s="7">
        <v>45994.269456018519</v>
      </c>
      <c r="B498" s="17">
        <v>48000</v>
      </c>
    </row>
    <row r="499" spans="1:2">
      <c r="A499" s="7">
        <v>45995.968194444446</v>
      </c>
      <c r="B499" s="17">
        <v>44000</v>
      </c>
    </row>
    <row r="500" spans="1:2">
      <c r="A500" s="7">
        <v>45996.307685185187</v>
      </c>
      <c r="B500" s="17">
        <v>27500</v>
      </c>
    </row>
    <row r="501" spans="1:2">
      <c r="A501" s="7">
        <v>45996.522199074076</v>
      </c>
      <c r="B501" s="17">
        <v>17000</v>
      </c>
    </row>
    <row r="502" spans="1:2">
      <c r="A502" s="7">
        <v>45996.707476851851</v>
      </c>
      <c r="B502" s="17">
        <v>26000</v>
      </c>
    </row>
    <row r="503" spans="1:2">
      <c r="A503" s="7">
        <v>45997.424293981479</v>
      </c>
      <c r="B503" s="17">
        <v>58500</v>
      </c>
    </row>
    <row r="504" spans="1:2">
      <c r="A504" s="7">
        <v>45997.879791666666</v>
      </c>
      <c r="B504" s="17">
        <v>26500</v>
      </c>
    </row>
    <row r="505" spans="1:2">
      <c r="A505" s="7">
        <v>45997.896724537037</v>
      </c>
      <c r="B505" s="17">
        <v>59500</v>
      </c>
    </row>
    <row r="506" spans="1:2">
      <c r="A506" s="7">
        <v>45998.527824074074</v>
      </c>
      <c r="B506" s="17">
        <v>55500</v>
      </c>
    </row>
    <row r="507" spans="1:2">
      <c r="A507" s="7">
        <v>45998.678101851852</v>
      </c>
      <c r="B507" s="17">
        <v>58000</v>
      </c>
    </row>
    <row r="508" spans="1:2">
      <c r="A508" s="7">
        <v>45999.077175925922</v>
      </c>
      <c r="B508" s="17">
        <v>100000</v>
      </c>
    </row>
    <row r="509" spans="1:2">
      <c r="A509" s="7">
        <v>46001.783726851849</v>
      </c>
      <c r="B509" s="17">
        <v>67500</v>
      </c>
    </row>
    <row r="510" spans="1:2">
      <c r="A510" s="7">
        <v>46003.211574074077</v>
      </c>
      <c r="B510" s="17">
        <v>57000</v>
      </c>
    </row>
    <row r="511" spans="1:2">
      <c r="A511" s="7">
        <v>46004.0156712963</v>
      </c>
      <c r="B511" s="17">
        <v>76000</v>
      </c>
    </row>
    <row r="512" spans="1:2">
      <c r="A512" s="7">
        <v>46004.456284722219</v>
      </c>
      <c r="B512" s="17">
        <v>29500</v>
      </c>
    </row>
    <row r="513" spans="1:2">
      <c r="A513" s="7">
        <v>46004.941874999997</v>
      </c>
      <c r="B513" s="17">
        <v>63000</v>
      </c>
    </row>
    <row r="514" spans="1:2">
      <c r="A514" s="7">
        <v>46005.68173611111</v>
      </c>
      <c r="B514" s="17">
        <v>129000</v>
      </c>
    </row>
    <row r="515" spans="1:2">
      <c r="A515" s="7">
        <v>46005.928599537037</v>
      </c>
      <c r="B515" s="17">
        <v>30000</v>
      </c>
    </row>
    <row r="516" spans="1:2">
      <c r="A516" s="6" t="s">
        <v>791</v>
      </c>
      <c r="B516" s="17">
        <v>33998000</v>
      </c>
    </row>
  </sheetData>
  <phoneticPr fontId="2"/>
  <pageMargins left="0.7" right="0.7" top="0.75" bottom="0.75" header="0.3" footer="0.3"/>
  <pageSetup paperSize="9" orientation="portrait" r:id="rId2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1A6B-B55B-435B-A110-0CB6759F8C5E}">
  <dimension ref="A1:B516"/>
  <sheetViews>
    <sheetView workbookViewId="0">
      <selection activeCell="A3" sqref="A3"/>
    </sheetView>
  </sheetViews>
  <sheetFormatPr defaultRowHeight="13"/>
  <cols>
    <col min="1" max="1" width="15.7265625" bestFit="1" customWidth="1"/>
    <col min="2" max="2" width="18.453125" bestFit="1" customWidth="1"/>
  </cols>
  <sheetData>
    <row r="1" spans="1:2">
      <c r="A1" t="s">
        <v>817</v>
      </c>
    </row>
    <row r="3" spans="1:2">
      <c r="A3" s="5" t="s">
        <v>793</v>
      </c>
      <c r="B3" t="s">
        <v>794</v>
      </c>
    </row>
    <row r="4" spans="1:2">
      <c r="A4" s="6" t="s">
        <v>796</v>
      </c>
      <c r="B4" s="17">
        <v>47</v>
      </c>
    </row>
    <row r="5" spans="1:2">
      <c r="A5" s="7">
        <v>45658.783113425925</v>
      </c>
      <c r="B5" s="17">
        <v>1</v>
      </c>
    </row>
    <row r="6" spans="1:2">
      <c r="A6" s="7">
        <v>45658.81759259259</v>
      </c>
      <c r="B6" s="17">
        <v>1</v>
      </c>
    </row>
    <row r="7" spans="1:2">
      <c r="A7" s="7">
        <v>45659.067048611112</v>
      </c>
      <c r="B7" s="17">
        <v>1</v>
      </c>
    </row>
    <row r="8" spans="1:2">
      <c r="A8" s="7">
        <v>45659.366122685184</v>
      </c>
      <c r="B8" s="17">
        <v>1</v>
      </c>
    </row>
    <row r="9" spans="1:2">
      <c r="A9" s="7">
        <v>45660.2890625</v>
      </c>
      <c r="B9" s="17">
        <v>1</v>
      </c>
    </row>
    <row r="10" spans="1:2">
      <c r="A10" s="7">
        <v>45661.788877314815</v>
      </c>
      <c r="B10" s="17">
        <v>1</v>
      </c>
    </row>
    <row r="11" spans="1:2">
      <c r="A11" s="7">
        <v>45662.902430555558</v>
      </c>
      <c r="B11" s="17">
        <v>1</v>
      </c>
    </row>
    <row r="12" spans="1:2">
      <c r="A12" s="7">
        <v>45663.18917824074</v>
      </c>
      <c r="B12" s="17">
        <v>1</v>
      </c>
    </row>
    <row r="13" spans="1:2">
      <c r="A13" s="7">
        <v>45663.758819444447</v>
      </c>
      <c r="B13" s="17">
        <v>1</v>
      </c>
    </row>
    <row r="14" spans="1:2">
      <c r="A14" s="7">
        <v>45664.155451388891</v>
      </c>
      <c r="B14" s="17">
        <v>1</v>
      </c>
    </row>
    <row r="15" spans="1:2">
      <c r="A15" s="7">
        <v>45664.368310185186</v>
      </c>
      <c r="B15" s="17">
        <v>1</v>
      </c>
    </row>
    <row r="16" spans="1:2">
      <c r="A16" s="7">
        <v>45665.356539351851</v>
      </c>
      <c r="B16" s="17">
        <v>1</v>
      </c>
    </row>
    <row r="17" spans="1:2">
      <c r="A17" s="7">
        <v>45665.818402777775</v>
      </c>
      <c r="B17" s="17">
        <v>1</v>
      </c>
    </row>
    <row r="18" spans="1:2">
      <c r="A18" s="7">
        <v>45666.190844907411</v>
      </c>
      <c r="B18" s="17">
        <v>1</v>
      </c>
    </row>
    <row r="19" spans="1:2">
      <c r="A19" s="7">
        <v>45670.409722222219</v>
      </c>
      <c r="B19" s="17">
        <v>1</v>
      </c>
    </row>
    <row r="20" spans="1:2">
      <c r="A20" s="7">
        <v>45670.414895833332</v>
      </c>
      <c r="B20" s="17">
        <v>1</v>
      </c>
    </row>
    <row r="21" spans="1:2">
      <c r="A21" s="7">
        <v>45672.068310185183</v>
      </c>
      <c r="B21" s="17">
        <v>1</v>
      </c>
    </row>
    <row r="22" spans="1:2">
      <c r="A22" s="7">
        <v>45672.15357638889</v>
      </c>
      <c r="B22" s="17">
        <v>1</v>
      </c>
    </row>
    <row r="23" spans="1:2">
      <c r="A23" s="7">
        <v>45672.891701388886</v>
      </c>
      <c r="B23" s="17">
        <v>1</v>
      </c>
    </row>
    <row r="24" spans="1:2">
      <c r="A24" s="7">
        <v>45673.133171296293</v>
      </c>
      <c r="B24" s="17">
        <v>1</v>
      </c>
    </row>
    <row r="25" spans="1:2">
      <c r="A25" s="7">
        <v>45673.555868055555</v>
      </c>
      <c r="B25" s="17">
        <v>1</v>
      </c>
    </row>
    <row r="26" spans="1:2">
      <c r="A26" s="7">
        <v>45674.839212962965</v>
      </c>
      <c r="B26" s="17">
        <v>1</v>
      </c>
    </row>
    <row r="27" spans="1:2">
      <c r="A27" s="7">
        <v>45675.754930555559</v>
      </c>
      <c r="B27" s="17">
        <v>1</v>
      </c>
    </row>
    <row r="28" spans="1:2">
      <c r="A28" s="7">
        <v>45676.523101851853</v>
      </c>
      <c r="B28" s="17">
        <v>1</v>
      </c>
    </row>
    <row r="29" spans="1:2">
      <c r="A29" s="7">
        <v>45676.536990740744</v>
      </c>
      <c r="B29" s="17">
        <v>1</v>
      </c>
    </row>
    <row r="30" spans="1:2">
      <c r="A30" s="7">
        <v>45676.878553240742</v>
      </c>
      <c r="B30" s="17">
        <v>1</v>
      </c>
    </row>
    <row r="31" spans="1:2">
      <c r="A31" s="7">
        <v>45676.925416666665</v>
      </c>
      <c r="B31" s="17">
        <v>1</v>
      </c>
    </row>
    <row r="32" spans="1:2">
      <c r="A32" s="7">
        <v>45677.934259259258</v>
      </c>
      <c r="B32" s="17">
        <v>1</v>
      </c>
    </row>
    <row r="33" spans="1:2">
      <c r="A33" s="7">
        <v>45679.405046296299</v>
      </c>
      <c r="B33" s="17">
        <v>1</v>
      </c>
    </row>
    <row r="34" spans="1:2">
      <c r="A34" s="7">
        <v>45679.469571759262</v>
      </c>
      <c r="B34" s="17">
        <v>1</v>
      </c>
    </row>
    <row r="35" spans="1:2">
      <c r="A35" s="7">
        <v>45679.683113425926</v>
      </c>
      <c r="B35" s="17">
        <v>1</v>
      </c>
    </row>
    <row r="36" spans="1:2">
      <c r="A36" s="7">
        <v>45679.75335648148</v>
      </c>
      <c r="B36" s="17">
        <v>1</v>
      </c>
    </row>
    <row r="37" spans="1:2">
      <c r="A37" s="7">
        <v>45680.114641203705</v>
      </c>
      <c r="B37" s="17">
        <v>1</v>
      </c>
    </row>
    <row r="38" spans="1:2">
      <c r="A38" s="7">
        <v>45683.755787037036</v>
      </c>
      <c r="B38" s="17">
        <v>1</v>
      </c>
    </row>
    <row r="39" spans="1:2">
      <c r="A39" s="7">
        <v>45684.029953703706</v>
      </c>
      <c r="B39" s="17">
        <v>1</v>
      </c>
    </row>
    <row r="40" spans="1:2">
      <c r="A40" s="7">
        <v>45684.346759259257</v>
      </c>
      <c r="B40" s="17">
        <v>1</v>
      </c>
    </row>
    <row r="41" spans="1:2">
      <c r="A41" s="7">
        <v>45684.821018518516</v>
      </c>
      <c r="B41" s="17">
        <v>1</v>
      </c>
    </row>
    <row r="42" spans="1:2">
      <c r="A42" s="7">
        <v>45685.466886574075</v>
      </c>
      <c r="B42" s="17">
        <v>1</v>
      </c>
    </row>
    <row r="43" spans="1:2">
      <c r="A43" s="7">
        <v>45685.573576388888</v>
      </c>
      <c r="B43" s="17">
        <v>1</v>
      </c>
    </row>
    <row r="44" spans="1:2">
      <c r="A44" s="7">
        <v>45685.621388888889</v>
      </c>
      <c r="B44" s="17">
        <v>1</v>
      </c>
    </row>
    <row r="45" spans="1:2">
      <c r="A45" s="7">
        <v>45686.399907407409</v>
      </c>
      <c r="B45" s="17">
        <v>1</v>
      </c>
    </row>
    <row r="46" spans="1:2">
      <c r="A46" s="7">
        <v>45687.247152777774</v>
      </c>
      <c r="B46" s="17">
        <v>1</v>
      </c>
    </row>
    <row r="47" spans="1:2">
      <c r="A47" s="7">
        <v>45688.063425925924</v>
      </c>
      <c r="B47" s="17">
        <v>1</v>
      </c>
    </row>
    <row r="48" spans="1:2">
      <c r="A48" s="7">
        <v>45688.559351851851</v>
      </c>
      <c r="B48" s="17">
        <v>1</v>
      </c>
    </row>
    <row r="49" spans="1:2">
      <c r="A49" s="7">
        <v>45688.65729166667</v>
      </c>
      <c r="B49" s="17">
        <v>1</v>
      </c>
    </row>
    <row r="50" spans="1:2">
      <c r="A50" s="7">
        <v>45688.770497685182</v>
      </c>
      <c r="B50" s="17">
        <v>1</v>
      </c>
    </row>
    <row r="51" spans="1:2">
      <c r="A51" s="7">
        <v>45688.87809027778</v>
      </c>
      <c r="B51" s="17">
        <v>1</v>
      </c>
    </row>
    <row r="52" spans="1:2">
      <c r="A52" s="6" t="s">
        <v>797</v>
      </c>
      <c r="B52" s="17">
        <v>43</v>
      </c>
    </row>
    <row r="53" spans="1:2">
      <c r="A53" s="7">
        <v>45689.149027777778</v>
      </c>
      <c r="B53" s="17">
        <v>1</v>
      </c>
    </row>
    <row r="54" spans="1:2">
      <c r="A54" s="7">
        <v>45689.986597222225</v>
      </c>
      <c r="B54" s="17">
        <v>1</v>
      </c>
    </row>
    <row r="55" spans="1:2">
      <c r="A55" s="7">
        <v>45692.333587962959</v>
      </c>
      <c r="B55" s="17">
        <v>1</v>
      </c>
    </row>
    <row r="56" spans="1:2">
      <c r="A56" s="7">
        <v>45692.447245370371</v>
      </c>
      <c r="B56" s="17">
        <v>1</v>
      </c>
    </row>
    <row r="57" spans="1:2">
      <c r="A57" s="7">
        <v>45692.600405092591</v>
      </c>
      <c r="B57" s="17">
        <v>1</v>
      </c>
    </row>
    <row r="58" spans="1:2">
      <c r="A58" s="7">
        <v>45694.173078703701</v>
      </c>
      <c r="B58" s="17">
        <v>1</v>
      </c>
    </row>
    <row r="59" spans="1:2">
      <c r="A59" s="7">
        <v>45694.994675925926</v>
      </c>
      <c r="B59" s="17">
        <v>1</v>
      </c>
    </row>
    <row r="60" spans="1:2">
      <c r="A60" s="7">
        <v>45695.63076388889</v>
      </c>
      <c r="B60" s="17">
        <v>1</v>
      </c>
    </row>
    <row r="61" spans="1:2">
      <c r="A61" s="7">
        <v>45695.788287037038</v>
      </c>
      <c r="B61" s="17">
        <v>1</v>
      </c>
    </row>
    <row r="62" spans="1:2">
      <c r="A62" s="7">
        <v>45696.364490740743</v>
      </c>
      <c r="B62" s="17">
        <v>1</v>
      </c>
    </row>
    <row r="63" spans="1:2">
      <c r="A63" s="7">
        <v>45696.416018518517</v>
      </c>
      <c r="B63" s="17">
        <v>1</v>
      </c>
    </row>
    <row r="64" spans="1:2">
      <c r="A64" s="7">
        <v>45696.639374999999</v>
      </c>
      <c r="B64" s="17">
        <v>1</v>
      </c>
    </row>
    <row r="65" spans="1:2">
      <c r="A65" s="7">
        <v>45697.001388888886</v>
      </c>
      <c r="B65" s="17">
        <v>1</v>
      </c>
    </row>
    <row r="66" spans="1:2">
      <c r="A66" s="7">
        <v>45699.66510416667</v>
      </c>
      <c r="B66" s="17">
        <v>1</v>
      </c>
    </row>
    <row r="67" spans="1:2">
      <c r="A67" s="7">
        <v>45700.92423611111</v>
      </c>
      <c r="B67" s="17">
        <v>1</v>
      </c>
    </row>
    <row r="68" spans="1:2">
      <c r="A68" s="7">
        <v>45701.300879629627</v>
      </c>
      <c r="B68" s="17">
        <v>1</v>
      </c>
    </row>
    <row r="69" spans="1:2">
      <c r="A69" s="7">
        <v>45701.553518518522</v>
      </c>
      <c r="B69" s="17">
        <v>1</v>
      </c>
    </row>
    <row r="70" spans="1:2">
      <c r="A70" s="7">
        <v>45701.66679398148</v>
      </c>
      <c r="B70" s="17">
        <v>1</v>
      </c>
    </row>
    <row r="71" spans="1:2">
      <c r="A71" s="7">
        <v>45701.84652777778</v>
      </c>
      <c r="B71" s="17">
        <v>1</v>
      </c>
    </row>
    <row r="72" spans="1:2">
      <c r="A72" s="7">
        <v>45703.288680555554</v>
      </c>
      <c r="B72" s="17">
        <v>1</v>
      </c>
    </row>
    <row r="73" spans="1:2">
      <c r="A73" s="7">
        <v>45704.033171296294</v>
      </c>
      <c r="B73" s="17">
        <v>1</v>
      </c>
    </row>
    <row r="74" spans="1:2">
      <c r="A74" s="7">
        <v>45704.764803240738</v>
      </c>
      <c r="B74" s="17">
        <v>1</v>
      </c>
    </row>
    <row r="75" spans="1:2">
      <c r="A75" s="7">
        <v>45705.461493055554</v>
      </c>
      <c r="B75" s="17">
        <v>1</v>
      </c>
    </row>
    <row r="76" spans="1:2">
      <c r="A76" s="7">
        <v>45706.223379629628</v>
      </c>
      <c r="B76" s="17">
        <v>1</v>
      </c>
    </row>
    <row r="77" spans="1:2">
      <c r="A77" s="7">
        <v>45706.582997685182</v>
      </c>
      <c r="B77" s="17">
        <v>1</v>
      </c>
    </row>
    <row r="78" spans="1:2">
      <c r="A78" s="7">
        <v>45708.298148148147</v>
      </c>
      <c r="B78" s="17">
        <v>1</v>
      </c>
    </row>
    <row r="79" spans="1:2">
      <c r="A79" s="7">
        <v>45709.02140046296</v>
      </c>
      <c r="B79" s="17">
        <v>1</v>
      </c>
    </row>
    <row r="80" spans="1:2">
      <c r="A80" s="7">
        <v>45709.229386574072</v>
      </c>
      <c r="B80" s="17">
        <v>1</v>
      </c>
    </row>
    <row r="81" spans="1:2">
      <c r="A81" s="7">
        <v>45709.659930555557</v>
      </c>
      <c r="B81" s="17">
        <v>1</v>
      </c>
    </row>
    <row r="82" spans="1:2">
      <c r="A82" s="7">
        <v>45709.679976851854</v>
      </c>
      <c r="B82" s="17">
        <v>1</v>
      </c>
    </row>
    <row r="83" spans="1:2">
      <c r="A83" s="7">
        <v>45710.988865740743</v>
      </c>
      <c r="B83" s="17">
        <v>1</v>
      </c>
    </row>
    <row r="84" spans="1:2">
      <c r="A84" s="7">
        <v>45711.010196759256</v>
      </c>
      <c r="B84" s="17">
        <v>1</v>
      </c>
    </row>
    <row r="85" spans="1:2">
      <c r="A85" s="7">
        <v>45711.054363425923</v>
      </c>
      <c r="B85" s="17">
        <v>1</v>
      </c>
    </row>
    <row r="86" spans="1:2">
      <c r="A86" s="7">
        <v>45711.181446759256</v>
      </c>
      <c r="B86" s="17">
        <v>1</v>
      </c>
    </row>
    <row r="87" spans="1:2">
      <c r="A87" s="7">
        <v>45711.908483796295</v>
      </c>
      <c r="B87" s="17">
        <v>1</v>
      </c>
    </row>
    <row r="88" spans="1:2">
      <c r="A88" s="7">
        <v>45712.526331018518</v>
      </c>
      <c r="B88" s="17">
        <v>1</v>
      </c>
    </row>
    <row r="89" spans="1:2">
      <c r="A89" s="7">
        <v>45713.357442129629</v>
      </c>
      <c r="B89" s="17">
        <v>1</v>
      </c>
    </row>
    <row r="90" spans="1:2">
      <c r="A90" s="7">
        <v>45713.93954861111</v>
      </c>
      <c r="B90" s="17">
        <v>1</v>
      </c>
    </row>
    <row r="91" spans="1:2">
      <c r="A91" s="7">
        <v>45714.114432870374</v>
      </c>
      <c r="B91" s="17">
        <v>1</v>
      </c>
    </row>
    <row r="92" spans="1:2">
      <c r="A92" s="7">
        <v>45715.285868055558</v>
      </c>
      <c r="B92" s="17">
        <v>1</v>
      </c>
    </row>
    <row r="93" spans="1:2">
      <c r="A93" s="7">
        <v>45715.690335648149</v>
      </c>
      <c r="B93" s="17">
        <v>1</v>
      </c>
    </row>
    <row r="94" spans="1:2">
      <c r="A94" s="7">
        <v>45715.882465277777</v>
      </c>
      <c r="B94" s="17">
        <v>1</v>
      </c>
    </row>
    <row r="95" spans="1:2">
      <c r="A95" s="7">
        <v>45716.839918981481</v>
      </c>
      <c r="B95" s="17">
        <v>1</v>
      </c>
    </row>
    <row r="96" spans="1:2">
      <c r="A96" s="6" t="s">
        <v>798</v>
      </c>
      <c r="B96" s="17">
        <v>49</v>
      </c>
    </row>
    <row r="97" spans="1:2">
      <c r="A97" s="7">
        <v>45717.103738425925</v>
      </c>
      <c r="B97" s="17">
        <v>1</v>
      </c>
    </row>
    <row r="98" spans="1:2">
      <c r="A98" s="7">
        <v>45717.246782407405</v>
      </c>
      <c r="B98" s="17">
        <v>1</v>
      </c>
    </row>
    <row r="99" spans="1:2">
      <c r="A99" s="7">
        <v>45717.787951388891</v>
      </c>
      <c r="B99" s="17">
        <v>1</v>
      </c>
    </row>
    <row r="100" spans="1:2">
      <c r="A100" s="7">
        <v>45718.615694444445</v>
      </c>
      <c r="B100" s="17">
        <v>1</v>
      </c>
    </row>
    <row r="101" spans="1:2">
      <c r="A101" s="7">
        <v>45719.394780092596</v>
      </c>
      <c r="B101" s="17">
        <v>1</v>
      </c>
    </row>
    <row r="102" spans="1:2">
      <c r="A102" s="7">
        <v>45719.720601851855</v>
      </c>
      <c r="B102" s="17">
        <v>1</v>
      </c>
    </row>
    <row r="103" spans="1:2">
      <c r="A103" s="7">
        <v>45720.614131944443</v>
      </c>
      <c r="B103" s="17">
        <v>1</v>
      </c>
    </row>
    <row r="104" spans="1:2">
      <c r="A104" s="7">
        <v>45721.145486111112</v>
      </c>
      <c r="B104" s="17">
        <v>1</v>
      </c>
    </row>
    <row r="105" spans="1:2">
      <c r="A105" s="7">
        <v>45721.226967592593</v>
      </c>
      <c r="B105" s="17">
        <v>1</v>
      </c>
    </row>
    <row r="106" spans="1:2">
      <c r="A106" s="7">
        <v>45722.339768518519</v>
      </c>
      <c r="B106" s="17">
        <v>1</v>
      </c>
    </row>
    <row r="107" spans="1:2">
      <c r="A107" s="7">
        <v>45722.375775462962</v>
      </c>
      <c r="B107" s="17">
        <v>1</v>
      </c>
    </row>
    <row r="108" spans="1:2">
      <c r="A108" s="7">
        <v>45723.495324074072</v>
      </c>
      <c r="B108" s="17">
        <v>1</v>
      </c>
    </row>
    <row r="109" spans="1:2">
      <c r="A109" s="7">
        <v>45724.245381944442</v>
      </c>
      <c r="B109" s="17">
        <v>1</v>
      </c>
    </row>
    <row r="110" spans="1:2">
      <c r="A110" s="7">
        <v>45724.520509259259</v>
      </c>
      <c r="B110" s="17">
        <v>1</v>
      </c>
    </row>
    <row r="111" spans="1:2">
      <c r="A111" s="7">
        <v>45725.204467592594</v>
      </c>
      <c r="B111" s="17">
        <v>1</v>
      </c>
    </row>
    <row r="112" spans="1:2">
      <c r="A112" s="7">
        <v>45725.967060185183</v>
      </c>
      <c r="B112" s="17">
        <v>1</v>
      </c>
    </row>
    <row r="113" spans="1:2">
      <c r="A113" s="7">
        <v>45727.063726851855</v>
      </c>
      <c r="B113" s="17">
        <v>1</v>
      </c>
    </row>
    <row r="114" spans="1:2">
      <c r="A114" s="7">
        <v>45728.172488425924</v>
      </c>
      <c r="B114" s="17">
        <v>1</v>
      </c>
    </row>
    <row r="115" spans="1:2">
      <c r="A115" s="7">
        <v>45728.392939814818</v>
      </c>
      <c r="B115" s="17">
        <v>1</v>
      </c>
    </row>
    <row r="116" spans="1:2">
      <c r="A116" s="7">
        <v>45728.820601851854</v>
      </c>
      <c r="B116" s="17">
        <v>1</v>
      </c>
    </row>
    <row r="117" spans="1:2">
      <c r="A117" s="7">
        <v>45729.703703703701</v>
      </c>
      <c r="B117" s="17">
        <v>1</v>
      </c>
    </row>
    <row r="118" spans="1:2">
      <c r="A118" s="7">
        <v>45729.766736111109</v>
      </c>
      <c r="B118" s="17">
        <v>1</v>
      </c>
    </row>
    <row r="119" spans="1:2">
      <c r="A119" s="7">
        <v>45730.744074074071</v>
      </c>
      <c r="B119" s="17">
        <v>1</v>
      </c>
    </row>
    <row r="120" spans="1:2">
      <c r="A120" s="7">
        <v>45730.830069444448</v>
      </c>
      <c r="B120" s="17">
        <v>1</v>
      </c>
    </row>
    <row r="121" spans="1:2">
      <c r="A121" s="7">
        <v>45731.478750000002</v>
      </c>
      <c r="B121" s="17">
        <v>1</v>
      </c>
    </row>
    <row r="122" spans="1:2">
      <c r="A122" s="7">
        <v>45733.25037037037</v>
      </c>
      <c r="B122" s="17">
        <v>1</v>
      </c>
    </row>
    <row r="123" spans="1:2">
      <c r="A123" s="7">
        <v>45733.804930555554</v>
      </c>
      <c r="B123" s="17">
        <v>1</v>
      </c>
    </row>
    <row r="124" spans="1:2">
      <c r="A124" s="7">
        <v>45734.929456018515</v>
      </c>
      <c r="B124" s="17">
        <v>1</v>
      </c>
    </row>
    <row r="125" spans="1:2">
      <c r="A125" s="7">
        <v>45735.616018518522</v>
      </c>
      <c r="B125" s="17">
        <v>1</v>
      </c>
    </row>
    <row r="126" spans="1:2">
      <c r="A126" s="7">
        <v>45736.037858796299</v>
      </c>
      <c r="B126" s="17">
        <v>1</v>
      </c>
    </row>
    <row r="127" spans="1:2">
      <c r="A127" s="7">
        <v>45737.334490740737</v>
      </c>
      <c r="B127" s="17">
        <v>1</v>
      </c>
    </row>
    <row r="128" spans="1:2">
      <c r="A128" s="7">
        <v>45737.398043981484</v>
      </c>
      <c r="B128" s="17">
        <v>1</v>
      </c>
    </row>
    <row r="129" spans="1:2">
      <c r="A129" s="7">
        <v>45738.160613425927</v>
      </c>
      <c r="B129" s="17">
        <v>1</v>
      </c>
    </row>
    <row r="130" spans="1:2">
      <c r="A130" s="7">
        <v>45738.320659722223</v>
      </c>
      <c r="B130" s="17">
        <v>1</v>
      </c>
    </row>
    <row r="131" spans="1:2">
      <c r="A131" s="7">
        <v>45738.483298611114</v>
      </c>
      <c r="B131" s="17">
        <v>1</v>
      </c>
    </row>
    <row r="132" spans="1:2">
      <c r="A132" s="7">
        <v>45738.832129629627</v>
      </c>
      <c r="B132" s="17">
        <v>1</v>
      </c>
    </row>
    <row r="133" spans="1:2">
      <c r="A133" s="7">
        <v>45739.048460648148</v>
      </c>
      <c r="B133" s="17">
        <v>1</v>
      </c>
    </row>
    <row r="134" spans="1:2">
      <c r="A134" s="7">
        <v>45740.20107638889</v>
      </c>
      <c r="B134" s="17">
        <v>1</v>
      </c>
    </row>
    <row r="135" spans="1:2">
      <c r="A135" s="7">
        <v>45740.592928240738</v>
      </c>
      <c r="B135" s="17">
        <v>1</v>
      </c>
    </row>
    <row r="136" spans="1:2">
      <c r="A136" s="7">
        <v>45741.910914351851</v>
      </c>
      <c r="B136" s="17">
        <v>1</v>
      </c>
    </row>
    <row r="137" spans="1:2">
      <c r="A137" s="7">
        <v>45743.806921296295</v>
      </c>
      <c r="B137" s="17">
        <v>1</v>
      </c>
    </row>
    <row r="138" spans="1:2">
      <c r="A138" s="7">
        <v>45744.444560185184</v>
      </c>
      <c r="B138" s="17">
        <v>1</v>
      </c>
    </row>
    <row r="139" spans="1:2">
      <c r="A139" s="7">
        <v>45744.572002314817</v>
      </c>
      <c r="B139" s="17">
        <v>1</v>
      </c>
    </row>
    <row r="140" spans="1:2">
      <c r="A140" s="7">
        <v>45745.791122685187</v>
      </c>
      <c r="B140" s="17">
        <v>1</v>
      </c>
    </row>
    <row r="141" spans="1:2">
      <c r="A141" s="7">
        <v>45745.821388888886</v>
      </c>
      <c r="B141" s="17">
        <v>1</v>
      </c>
    </row>
    <row r="142" spans="1:2">
      <c r="A142" s="7">
        <v>45746.752500000002</v>
      </c>
      <c r="B142" s="17">
        <v>1</v>
      </c>
    </row>
    <row r="143" spans="1:2">
      <c r="A143" s="7">
        <v>45746.96806712963</v>
      </c>
      <c r="B143" s="17">
        <v>1</v>
      </c>
    </row>
    <row r="144" spans="1:2">
      <c r="A144" s="7">
        <v>45747.000972222224</v>
      </c>
      <c r="B144" s="17">
        <v>1</v>
      </c>
    </row>
    <row r="145" spans="1:2">
      <c r="A145" s="7">
        <v>45747.782430555555</v>
      </c>
      <c r="B145" s="17">
        <v>1</v>
      </c>
    </row>
    <row r="146" spans="1:2">
      <c r="A146" s="6" t="s">
        <v>799</v>
      </c>
      <c r="B146" s="17">
        <v>42</v>
      </c>
    </row>
    <row r="147" spans="1:2">
      <c r="A147" s="7">
        <v>45748.595995370371</v>
      </c>
      <c r="B147" s="17">
        <v>1</v>
      </c>
    </row>
    <row r="148" spans="1:2">
      <c r="A148" s="7">
        <v>45749.255543981482</v>
      </c>
      <c r="B148" s="17">
        <v>1</v>
      </c>
    </row>
    <row r="149" spans="1:2">
      <c r="A149" s="7">
        <v>45749.48228009259</v>
      </c>
      <c r="B149" s="17">
        <v>1</v>
      </c>
    </row>
    <row r="150" spans="1:2">
      <c r="A150" s="7">
        <v>45750.60974537037</v>
      </c>
      <c r="B150" s="17">
        <v>1</v>
      </c>
    </row>
    <row r="151" spans="1:2">
      <c r="A151" s="7">
        <v>45751.554664351854</v>
      </c>
      <c r="B151" s="17">
        <v>1</v>
      </c>
    </row>
    <row r="152" spans="1:2">
      <c r="A152" s="7">
        <v>45753.30878472222</v>
      </c>
      <c r="B152" s="17">
        <v>1</v>
      </c>
    </row>
    <row r="153" spans="1:2">
      <c r="A153" s="7">
        <v>45753.460092592592</v>
      </c>
      <c r="B153" s="17">
        <v>1</v>
      </c>
    </row>
    <row r="154" spans="1:2">
      <c r="A154" s="7">
        <v>45753.750474537039</v>
      </c>
      <c r="B154" s="17">
        <v>1</v>
      </c>
    </row>
    <row r="155" spans="1:2">
      <c r="A155" s="7">
        <v>45754.242939814816</v>
      </c>
      <c r="B155" s="17">
        <v>1</v>
      </c>
    </row>
    <row r="156" spans="1:2">
      <c r="A156" s="7">
        <v>45755.400439814817</v>
      </c>
      <c r="B156" s="17">
        <v>1</v>
      </c>
    </row>
    <row r="157" spans="1:2">
      <c r="A157" s="7">
        <v>45755.853715277779</v>
      </c>
      <c r="B157" s="17">
        <v>1</v>
      </c>
    </row>
    <row r="158" spans="1:2">
      <c r="A158" s="7">
        <v>45756.153622685182</v>
      </c>
      <c r="B158" s="17">
        <v>1</v>
      </c>
    </row>
    <row r="159" spans="1:2">
      <c r="A159" s="7">
        <v>45756.396111111113</v>
      </c>
      <c r="B159" s="17">
        <v>1</v>
      </c>
    </row>
    <row r="160" spans="1:2">
      <c r="A160" s="7">
        <v>45758.621180555558</v>
      </c>
      <c r="B160" s="17">
        <v>1</v>
      </c>
    </row>
    <row r="161" spans="1:2">
      <c r="A161" s="7">
        <v>45758.745763888888</v>
      </c>
      <c r="B161" s="17">
        <v>1</v>
      </c>
    </row>
    <row r="162" spans="1:2">
      <c r="A162" s="7">
        <v>45761.412557870368</v>
      </c>
      <c r="B162" s="17">
        <v>1</v>
      </c>
    </row>
    <row r="163" spans="1:2">
      <c r="A163" s="7">
        <v>45762.385104166664</v>
      </c>
      <c r="B163" s="17">
        <v>1</v>
      </c>
    </row>
    <row r="164" spans="1:2">
      <c r="A164" s="7">
        <v>45763.760208333333</v>
      </c>
      <c r="B164" s="17">
        <v>1</v>
      </c>
    </row>
    <row r="165" spans="1:2">
      <c r="A165" s="7">
        <v>45764.248553240737</v>
      </c>
      <c r="B165" s="17">
        <v>1</v>
      </c>
    </row>
    <row r="166" spans="1:2">
      <c r="A166" s="7">
        <v>45764.524756944447</v>
      </c>
      <c r="B166" s="17">
        <v>1</v>
      </c>
    </row>
    <row r="167" spans="1:2">
      <c r="A167" s="7">
        <v>45764.739988425928</v>
      </c>
      <c r="B167" s="17">
        <v>1</v>
      </c>
    </row>
    <row r="168" spans="1:2">
      <c r="A168" s="7">
        <v>45765.02275462963</v>
      </c>
      <c r="B168" s="17">
        <v>1</v>
      </c>
    </row>
    <row r="169" spans="1:2">
      <c r="A169" s="7">
        <v>45765.710266203707</v>
      </c>
      <c r="B169" s="17">
        <v>1</v>
      </c>
    </row>
    <row r="170" spans="1:2">
      <c r="A170" s="7">
        <v>45766.993784722225</v>
      </c>
      <c r="B170" s="17">
        <v>1</v>
      </c>
    </row>
    <row r="171" spans="1:2">
      <c r="A171" s="7">
        <v>45768.592546296299</v>
      </c>
      <c r="B171" s="17">
        <v>1</v>
      </c>
    </row>
    <row r="172" spans="1:2">
      <c r="A172" s="7">
        <v>45768.993067129632</v>
      </c>
      <c r="B172" s="17">
        <v>1</v>
      </c>
    </row>
    <row r="173" spans="1:2">
      <c r="A173" s="7">
        <v>45770.299780092595</v>
      </c>
      <c r="B173" s="17">
        <v>1</v>
      </c>
    </row>
    <row r="174" spans="1:2">
      <c r="A174" s="7">
        <v>45770.572800925926</v>
      </c>
      <c r="B174" s="17">
        <v>1</v>
      </c>
    </row>
    <row r="175" spans="1:2">
      <c r="A175" s="7">
        <v>45771.546342592592</v>
      </c>
      <c r="B175" s="17">
        <v>1</v>
      </c>
    </row>
    <row r="176" spans="1:2">
      <c r="A176" s="7">
        <v>45771.589687500003</v>
      </c>
      <c r="B176" s="17">
        <v>1</v>
      </c>
    </row>
    <row r="177" spans="1:2">
      <c r="A177" s="7">
        <v>45771.636099537034</v>
      </c>
      <c r="B177" s="17">
        <v>1</v>
      </c>
    </row>
    <row r="178" spans="1:2">
      <c r="A178" s="7">
        <v>45772.840185185189</v>
      </c>
      <c r="B178" s="17">
        <v>1</v>
      </c>
    </row>
    <row r="179" spans="1:2">
      <c r="A179" s="7">
        <v>45773.79351851852</v>
      </c>
      <c r="B179" s="17">
        <v>1</v>
      </c>
    </row>
    <row r="180" spans="1:2">
      <c r="A180" s="7">
        <v>45774.670671296299</v>
      </c>
      <c r="B180" s="17">
        <v>1</v>
      </c>
    </row>
    <row r="181" spans="1:2">
      <c r="A181" s="7">
        <v>45775.071284722224</v>
      </c>
      <c r="B181" s="17">
        <v>1</v>
      </c>
    </row>
    <row r="182" spans="1:2">
      <c r="A182" s="7">
        <v>45775.537314814814</v>
      </c>
      <c r="B182" s="17">
        <v>1</v>
      </c>
    </row>
    <row r="183" spans="1:2">
      <c r="A183" s="7">
        <v>45775.648275462961</v>
      </c>
      <c r="B183" s="17">
        <v>1</v>
      </c>
    </row>
    <row r="184" spans="1:2">
      <c r="A184" s="7">
        <v>45776.006458333337</v>
      </c>
      <c r="B184" s="17">
        <v>1</v>
      </c>
    </row>
    <row r="185" spans="1:2">
      <c r="A185" s="7">
        <v>45776.038182870368</v>
      </c>
      <c r="B185" s="17">
        <v>1</v>
      </c>
    </row>
    <row r="186" spans="1:2">
      <c r="A186" s="7">
        <v>45776.867546296293</v>
      </c>
      <c r="B186" s="17">
        <v>1</v>
      </c>
    </row>
    <row r="187" spans="1:2">
      <c r="A187" s="7">
        <v>45777.454340277778</v>
      </c>
      <c r="B187" s="17">
        <v>1</v>
      </c>
    </row>
    <row r="188" spans="1:2">
      <c r="A188" s="7">
        <v>45777.90525462963</v>
      </c>
      <c r="B188" s="17">
        <v>1</v>
      </c>
    </row>
    <row r="189" spans="1:2">
      <c r="A189" s="6" t="s">
        <v>800</v>
      </c>
      <c r="B189" s="17">
        <v>45</v>
      </c>
    </row>
    <row r="190" spans="1:2">
      <c r="A190" s="7">
        <v>45778.249988425923</v>
      </c>
      <c r="B190" s="17">
        <v>1</v>
      </c>
    </row>
    <row r="191" spans="1:2">
      <c r="A191" s="7">
        <v>45779.141377314816</v>
      </c>
      <c r="B191" s="17">
        <v>1</v>
      </c>
    </row>
    <row r="192" spans="1:2">
      <c r="A192" s="7">
        <v>45779.815289351849</v>
      </c>
      <c r="B192" s="17">
        <v>1</v>
      </c>
    </row>
    <row r="193" spans="1:2">
      <c r="A193" s="7">
        <v>45780.820335648146</v>
      </c>
      <c r="B193" s="17">
        <v>1</v>
      </c>
    </row>
    <row r="194" spans="1:2">
      <c r="A194" s="7">
        <v>45780.884768518517</v>
      </c>
      <c r="B194" s="17">
        <v>1</v>
      </c>
    </row>
    <row r="195" spans="1:2">
      <c r="A195" s="7">
        <v>45781.174791666665</v>
      </c>
      <c r="B195" s="17">
        <v>1</v>
      </c>
    </row>
    <row r="196" spans="1:2">
      <c r="A196" s="7">
        <v>45783.098032407404</v>
      </c>
      <c r="B196" s="17">
        <v>1</v>
      </c>
    </row>
    <row r="197" spans="1:2">
      <c r="A197" s="7">
        <v>45783.854201388887</v>
      </c>
      <c r="B197" s="17">
        <v>1</v>
      </c>
    </row>
    <row r="198" spans="1:2">
      <c r="A198" s="7">
        <v>45784.035462962966</v>
      </c>
      <c r="B198" s="17">
        <v>1</v>
      </c>
    </row>
    <row r="199" spans="1:2">
      <c r="A199" s="7">
        <v>45784.426354166666</v>
      </c>
      <c r="B199" s="17">
        <v>1</v>
      </c>
    </row>
    <row r="200" spans="1:2">
      <c r="A200" s="7">
        <v>45785.162824074076</v>
      </c>
      <c r="B200" s="17">
        <v>1</v>
      </c>
    </row>
    <row r="201" spans="1:2">
      <c r="A201" s="7">
        <v>45786.081319444442</v>
      </c>
      <c r="B201" s="17">
        <v>1</v>
      </c>
    </row>
    <row r="202" spans="1:2">
      <c r="A202" s="7">
        <v>45786.457361111112</v>
      </c>
      <c r="B202" s="17">
        <v>1</v>
      </c>
    </row>
    <row r="203" spans="1:2">
      <c r="A203" s="7">
        <v>45786.459687499999</v>
      </c>
      <c r="B203" s="17">
        <v>1</v>
      </c>
    </row>
    <row r="204" spans="1:2">
      <c r="A204" s="7">
        <v>45786.999444444446</v>
      </c>
      <c r="B204" s="17">
        <v>1</v>
      </c>
    </row>
    <row r="205" spans="1:2">
      <c r="A205" s="7">
        <v>45787.066979166666</v>
      </c>
      <c r="B205" s="17">
        <v>1</v>
      </c>
    </row>
    <row r="206" spans="1:2">
      <c r="A206" s="7">
        <v>45787.088900462964</v>
      </c>
      <c r="B206" s="17">
        <v>1</v>
      </c>
    </row>
    <row r="207" spans="1:2">
      <c r="A207" s="7">
        <v>45789.925532407404</v>
      </c>
      <c r="B207" s="17">
        <v>1</v>
      </c>
    </row>
    <row r="208" spans="1:2">
      <c r="A208" s="7">
        <v>45790.256689814814</v>
      </c>
      <c r="B208" s="17">
        <v>1</v>
      </c>
    </row>
    <row r="209" spans="1:2">
      <c r="A209" s="7">
        <v>45791.707071759258</v>
      </c>
      <c r="B209" s="17">
        <v>1</v>
      </c>
    </row>
    <row r="210" spans="1:2">
      <c r="A210" s="7">
        <v>45792.54011574074</v>
      </c>
      <c r="B210" s="17">
        <v>1</v>
      </c>
    </row>
    <row r="211" spans="1:2">
      <c r="A211" s="7">
        <v>45793.237210648149</v>
      </c>
      <c r="B211" s="17">
        <v>1</v>
      </c>
    </row>
    <row r="212" spans="1:2">
      <c r="A212" s="7">
        <v>45793.495810185188</v>
      </c>
      <c r="B212" s="17">
        <v>1</v>
      </c>
    </row>
    <row r="213" spans="1:2">
      <c r="A213" s="7">
        <v>45793.653668981482</v>
      </c>
      <c r="B213" s="17">
        <v>1</v>
      </c>
    </row>
    <row r="214" spans="1:2">
      <c r="A214" s="7">
        <v>45794.968819444446</v>
      </c>
      <c r="B214" s="17">
        <v>1</v>
      </c>
    </row>
    <row r="215" spans="1:2">
      <c r="A215" s="7">
        <v>45795.245474537034</v>
      </c>
      <c r="B215" s="17">
        <v>1</v>
      </c>
    </row>
    <row r="216" spans="1:2">
      <c r="A216" s="7">
        <v>45795.450601851851</v>
      </c>
      <c r="B216" s="17">
        <v>1</v>
      </c>
    </row>
    <row r="217" spans="1:2">
      <c r="A217" s="7">
        <v>45795.614305555559</v>
      </c>
      <c r="B217" s="17">
        <v>1</v>
      </c>
    </row>
    <row r="218" spans="1:2">
      <c r="A218" s="7">
        <v>45798.79179398148</v>
      </c>
      <c r="B218" s="17">
        <v>1</v>
      </c>
    </row>
    <row r="219" spans="1:2">
      <c r="A219" s="7">
        <v>45799.635428240741</v>
      </c>
      <c r="B219" s="17">
        <v>1</v>
      </c>
    </row>
    <row r="220" spans="1:2">
      <c r="A220" s="7">
        <v>45799.701689814814</v>
      </c>
      <c r="B220" s="17">
        <v>1</v>
      </c>
    </row>
    <row r="221" spans="1:2">
      <c r="A221" s="7">
        <v>45800.730810185189</v>
      </c>
      <c r="B221" s="17">
        <v>1</v>
      </c>
    </row>
    <row r="222" spans="1:2">
      <c r="A222" s="7">
        <v>45801.266504629632</v>
      </c>
      <c r="B222" s="17">
        <v>1</v>
      </c>
    </row>
    <row r="223" spans="1:2">
      <c r="A223" s="7">
        <v>45801.902731481481</v>
      </c>
      <c r="B223" s="17">
        <v>1</v>
      </c>
    </row>
    <row r="224" spans="1:2">
      <c r="A224" s="7">
        <v>45802.179166666669</v>
      </c>
      <c r="B224" s="17">
        <v>1</v>
      </c>
    </row>
    <row r="225" spans="1:2">
      <c r="A225" s="7">
        <v>45802.215914351851</v>
      </c>
      <c r="B225" s="17">
        <v>1</v>
      </c>
    </row>
    <row r="226" spans="1:2">
      <c r="A226" s="7">
        <v>45803.625069444446</v>
      </c>
      <c r="B226" s="17">
        <v>1</v>
      </c>
    </row>
    <row r="227" spans="1:2">
      <c r="A227" s="7">
        <v>45804.40179398148</v>
      </c>
      <c r="B227" s="17">
        <v>1</v>
      </c>
    </row>
    <row r="228" spans="1:2">
      <c r="A228" s="7">
        <v>45805.910810185182</v>
      </c>
      <c r="B228" s="17">
        <v>1</v>
      </c>
    </row>
    <row r="229" spans="1:2">
      <c r="A229" s="7">
        <v>45806.513831018521</v>
      </c>
      <c r="B229" s="17">
        <v>1</v>
      </c>
    </row>
    <row r="230" spans="1:2">
      <c r="A230" s="7">
        <v>45806.569467592592</v>
      </c>
      <c r="B230" s="17">
        <v>1</v>
      </c>
    </row>
    <row r="231" spans="1:2">
      <c r="A231" s="7">
        <v>45806.641886574071</v>
      </c>
      <c r="B231" s="17">
        <v>1</v>
      </c>
    </row>
    <row r="232" spans="1:2">
      <c r="A232" s="7">
        <v>45808.380868055552</v>
      </c>
      <c r="B232" s="17">
        <v>1</v>
      </c>
    </row>
    <row r="233" spans="1:2">
      <c r="A233" s="7">
        <v>45808.632476851853</v>
      </c>
      <c r="B233" s="17">
        <v>1</v>
      </c>
    </row>
    <row r="234" spans="1:2">
      <c r="A234" s="7">
        <v>45808.712650462963</v>
      </c>
      <c r="B234" s="17">
        <v>1</v>
      </c>
    </row>
    <row r="235" spans="1:2">
      <c r="A235" s="6" t="s">
        <v>801</v>
      </c>
      <c r="B235" s="17">
        <v>44</v>
      </c>
    </row>
    <row r="236" spans="1:2">
      <c r="A236" s="7">
        <v>45809.000787037039</v>
      </c>
      <c r="B236" s="17">
        <v>1</v>
      </c>
    </row>
    <row r="237" spans="1:2">
      <c r="A237" s="7">
        <v>45809.168043981481</v>
      </c>
      <c r="B237" s="17">
        <v>1</v>
      </c>
    </row>
    <row r="238" spans="1:2">
      <c r="A238" s="7">
        <v>45809.409513888888</v>
      </c>
      <c r="B238" s="17">
        <v>1</v>
      </c>
    </row>
    <row r="239" spans="1:2">
      <c r="A239" s="7">
        <v>45809.49145833333</v>
      </c>
      <c r="B239" s="17">
        <v>1</v>
      </c>
    </row>
    <row r="240" spans="1:2">
      <c r="A240" s="7">
        <v>45810.982037037036</v>
      </c>
      <c r="B240" s="17">
        <v>1</v>
      </c>
    </row>
    <row r="241" spans="1:2">
      <c r="A241" s="7">
        <v>45811.591678240744</v>
      </c>
      <c r="B241" s="17">
        <v>1</v>
      </c>
    </row>
    <row r="242" spans="1:2">
      <c r="A242" s="7">
        <v>45811.916342592594</v>
      </c>
      <c r="B242" s="17">
        <v>1</v>
      </c>
    </row>
    <row r="243" spans="1:2">
      <c r="A243" s="7">
        <v>45812.958437499998</v>
      </c>
      <c r="B243" s="17">
        <v>1</v>
      </c>
    </row>
    <row r="244" spans="1:2">
      <c r="A244" s="7">
        <v>45813.198009259257</v>
      </c>
      <c r="B244" s="17">
        <v>1</v>
      </c>
    </row>
    <row r="245" spans="1:2">
      <c r="A245" s="7">
        <v>45813.363912037035</v>
      </c>
      <c r="B245" s="17">
        <v>1</v>
      </c>
    </row>
    <row r="246" spans="1:2">
      <c r="A246" s="7">
        <v>45813.666238425925</v>
      </c>
      <c r="B246" s="17">
        <v>1</v>
      </c>
    </row>
    <row r="247" spans="1:2">
      <c r="A247" s="7">
        <v>45813.743564814817</v>
      </c>
      <c r="B247" s="17">
        <v>1</v>
      </c>
    </row>
    <row r="248" spans="1:2">
      <c r="A248" s="7">
        <v>45815.755601851852</v>
      </c>
      <c r="B248" s="17">
        <v>1</v>
      </c>
    </row>
    <row r="249" spans="1:2">
      <c r="A249" s="7">
        <v>45815.89943287037</v>
      </c>
      <c r="B249" s="17">
        <v>1</v>
      </c>
    </row>
    <row r="250" spans="1:2">
      <c r="A250" s="7">
        <v>45816.099340277775</v>
      </c>
      <c r="B250" s="17">
        <v>1</v>
      </c>
    </row>
    <row r="251" spans="1:2">
      <c r="A251" s="7">
        <v>45817.506215277775</v>
      </c>
      <c r="B251" s="17">
        <v>1</v>
      </c>
    </row>
    <row r="252" spans="1:2">
      <c r="A252" s="7">
        <v>45818.1</v>
      </c>
      <c r="B252" s="17">
        <v>1</v>
      </c>
    </row>
    <row r="253" spans="1:2">
      <c r="A253" s="7">
        <v>45818.254861111112</v>
      </c>
      <c r="B253" s="17">
        <v>1</v>
      </c>
    </row>
    <row r="254" spans="1:2">
      <c r="A254" s="7">
        <v>45819.383726851855</v>
      </c>
      <c r="B254" s="17">
        <v>1</v>
      </c>
    </row>
    <row r="255" spans="1:2">
      <c r="A255" s="7">
        <v>45821.278495370374</v>
      </c>
      <c r="B255" s="17">
        <v>1</v>
      </c>
    </row>
    <row r="256" spans="1:2">
      <c r="A256" s="7">
        <v>45821.683148148149</v>
      </c>
      <c r="B256" s="17">
        <v>1</v>
      </c>
    </row>
    <row r="257" spans="1:2">
      <c r="A257" s="7">
        <v>45822.375543981485</v>
      </c>
      <c r="B257" s="17">
        <v>1</v>
      </c>
    </row>
    <row r="258" spans="1:2">
      <c r="A258" s="7">
        <v>45823.001875000002</v>
      </c>
      <c r="B258" s="17">
        <v>1</v>
      </c>
    </row>
    <row r="259" spans="1:2">
      <c r="A259" s="7">
        <v>45824.166018518517</v>
      </c>
      <c r="B259" s="17">
        <v>1</v>
      </c>
    </row>
    <row r="260" spans="1:2">
      <c r="A260" s="7">
        <v>45825.14634259259</v>
      </c>
      <c r="B260" s="17">
        <v>1</v>
      </c>
    </row>
    <row r="261" spans="1:2">
      <c r="A261" s="7">
        <v>45825.930405092593</v>
      </c>
      <c r="B261" s="17">
        <v>1</v>
      </c>
    </row>
    <row r="262" spans="1:2">
      <c r="A262" s="7">
        <v>45826.67428240741</v>
      </c>
      <c r="B262" s="17">
        <v>1</v>
      </c>
    </row>
    <row r="263" spans="1:2">
      <c r="A263" s="7">
        <v>45827.873483796298</v>
      </c>
      <c r="B263" s="17">
        <v>1</v>
      </c>
    </row>
    <row r="264" spans="1:2">
      <c r="A264" s="7">
        <v>45827.922638888886</v>
      </c>
      <c r="B264" s="17">
        <v>1</v>
      </c>
    </row>
    <row r="265" spans="1:2">
      <c r="A265" s="7">
        <v>45829.010659722226</v>
      </c>
      <c r="B265" s="17">
        <v>1</v>
      </c>
    </row>
    <row r="266" spans="1:2">
      <c r="A266" s="7">
        <v>45829.419259259259</v>
      </c>
      <c r="B266" s="17">
        <v>1</v>
      </c>
    </row>
    <row r="267" spans="1:2">
      <c r="A267" s="7">
        <v>45829.731111111112</v>
      </c>
      <c r="B267" s="17">
        <v>1</v>
      </c>
    </row>
    <row r="268" spans="1:2">
      <c r="A268" s="7">
        <v>45830.255902777775</v>
      </c>
      <c r="B268" s="17">
        <v>1</v>
      </c>
    </row>
    <row r="269" spans="1:2">
      <c r="A269" s="7">
        <v>45830.498159722221</v>
      </c>
      <c r="B269" s="17">
        <v>1</v>
      </c>
    </row>
    <row r="270" spans="1:2">
      <c r="A270" s="7">
        <v>45831.164421296293</v>
      </c>
      <c r="B270" s="17">
        <v>1</v>
      </c>
    </row>
    <row r="271" spans="1:2">
      <c r="A271" s="7">
        <v>45831.193749999999</v>
      </c>
      <c r="B271" s="17">
        <v>1</v>
      </c>
    </row>
    <row r="272" spans="1:2">
      <c r="A272" s="7">
        <v>45831.749212962961</v>
      </c>
      <c r="B272" s="17">
        <v>1</v>
      </c>
    </row>
    <row r="273" spans="1:2">
      <c r="A273" s="7">
        <v>45833.381874999999</v>
      </c>
      <c r="B273" s="17">
        <v>1</v>
      </c>
    </row>
    <row r="274" spans="1:2">
      <c r="A274" s="7">
        <v>45834.03125</v>
      </c>
      <c r="B274" s="17">
        <v>1</v>
      </c>
    </row>
    <row r="275" spans="1:2">
      <c r="A275" s="7">
        <v>45834.91746527778</v>
      </c>
      <c r="B275" s="17">
        <v>1</v>
      </c>
    </row>
    <row r="276" spans="1:2">
      <c r="A276" s="7">
        <v>45836.572372685187</v>
      </c>
      <c r="B276" s="17">
        <v>1</v>
      </c>
    </row>
    <row r="277" spans="1:2">
      <c r="A277" s="7">
        <v>45837.860798611109</v>
      </c>
      <c r="B277" s="17">
        <v>1</v>
      </c>
    </row>
    <row r="278" spans="1:2">
      <c r="A278" s="7">
        <v>45837.863240740742</v>
      </c>
      <c r="B278" s="17">
        <v>1</v>
      </c>
    </row>
    <row r="279" spans="1:2">
      <c r="A279" s="7">
        <v>45838.648680555554</v>
      </c>
      <c r="B279" s="17">
        <v>1</v>
      </c>
    </row>
    <row r="280" spans="1:2">
      <c r="A280" s="6" t="s">
        <v>802</v>
      </c>
      <c r="B280" s="17">
        <v>47</v>
      </c>
    </row>
    <row r="281" spans="1:2">
      <c r="A281" s="7">
        <v>45839.137777777774</v>
      </c>
      <c r="B281" s="17">
        <v>1</v>
      </c>
    </row>
    <row r="282" spans="1:2">
      <c r="A282" s="7">
        <v>45839.523090277777</v>
      </c>
      <c r="B282" s="17">
        <v>1</v>
      </c>
    </row>
    <row r="283" spans="1:2">
      <c r="A283" s="7">
        <v>45840.108900462961</v>
      </c>
      <c r="B283" s="17">
        <v>1</v>
      </c>
    </row>
    <row r="284" spans="1:2">
      <c r="A284" s="7">
        <v>45840.729201388887</v>
      </c>
      <c r="B284" s="17">
        <v>1</v>
      </c>
    </row>
    <row r="285" spans="1:2">
      <c r="A285" s="7">
        <v>45841.041990740741</v>
      </c>
      <c r="B285" s="17">
        <v>1</v>
      </c>
    </row>
    <row r="286" spans="1:2">
      <c r="A286" s="7">
        <v>45841.834918981483</v>
      </c>
      <c r="B286" s="17">
        <v>1</v>
      </c>
    </row>
    <row r="287" spans="1:2">
      <c r="A287" s="7">
        <v>45842.396249999998</v>
      </c>
      <c r="B287" s="17">
        <v>1</v>
      </c>
    </row>
    <row r="288" spans="1:2">
      <c r="A288" s="7">
        <v>45842.760613425926</v>
      </c>
      <c r="B288" s="17">
        <v>1</v>
      </c>
    </row>
    <row r="289" spans="1:2">
      <c r="A289" s="7">
        <v>45843.716516203705</v>
      </c>
      <c r="B289" s="17">
        <v>1</v>
      </c>
    </row>
    <row r="290" spans="1:2">
      <c r="A290" s="7">
        <v>45844.102372685185</v>
      </c>
      <c r="B290" s="17">
        <v>1</v>
      </c>
    </row>
    <row r="291" spans="1:2">
      <c r="A291" s="7">
        <v>45844.33388888889</v>
      </c>
      <c r="B291" s="17">
        <v>1</v>
      </c>
    </row>
    <row r="292" spans="1:2">
      <c r="A292" s="7">
        <v>45845.085694444446</v>
      </c>
      <c r="B292" s="17">
        <v>1</v>
      </c>
    </row>
    <row r="293" spans="1:2">
      <c r="A293" s="7">
        <v>45847.275752314818</v>
      </c>
      <c r="B293" s="17">
        <v>1</v>
      </c>
    </row>
    <row r="294" spans="1:2">
      <c r="A294" s="7">
        <v>45848.21230324074</v>
      </c>
      <c r="B294" s="17">
        <v>1</v>
      </c>
    </row>
    <row r="295" spans="1:2">
      <c r="A295" s="7">
        <v>45848.480937499997</v>
      </c>
      <c r="B295" s="17">
        <v>1</v>
      </c>
    </row>
    <row r="296" spans="1:2">
      <c r="A296" s="7">
        <v>45849.111747685187</v>
      </c>
      <c r="B296" s="17">
        <v>1</v>
      </c>
    </row>
    <row r="297" spans="1:2">
      <c r="A297" s="7">
        <v>45849.382291666669</v>
      </c>
      <c r="B297" s="17">
        <v>1</v>
      </c>
    </row>
    <row r="298" spans="1:2">
      <c r="A298" s="7">
        <v>45849.751111111109</v>
      </c>
      <c r="B298" s="17">
        <v>1</v>
      </c>
    </row>
    <row r="299" spans="1:2">
      <c r="A299" s="7">
        <v>45849.93891203704</v>
      </c>
      <c r="B299" s="17">
        <v>1</v>
      </c>
    </row>
    <row r="300" spans="1:2">
      <c r="A300" s="7">
        <v>45850.127187500002</v>
      </c>
      <c r="B300" s="17">
        <v>1</v>
      </c>
    </row>
    <row r="301" spans="1:2">
      <c r="A301" s="7">
        <v>45850.339733796296</v>
      </c>
      <c r="B301" s="17">
        <v>1</v>
      </c>
    </row>
    <row r="302" spans="1:2">
      <c r="A302" s="7">
        <v>45850.862129629626</v>
      </c>
      <c r="B302" s="17">
        <v>1</v>
      </c>
    </row>
    <row r="303" spans="1:2">
      <c r="A303" s="7">
        <v>45851.051388888889</v>
      </c>
      <c r="B303" s="17">
        <v>1</v>
      </c>
    </row>
    <row r="304" spans="1:2">
      <c r="A304" s="7">
        <v>45851.160740740743</v>
      </c>
      <c r="B304" s="17">
        <v>1</v>
      </c>
    </row>
    <row r="305" spans="1:2">
      <c r="A305" s="7">
        <v>45851.710798611108</v>
      </c>
      <c r="B305" s="17">
        <v>1</v>
      </c>
    </row>
    <row r="306" spans="1:2">
      <c r="A306" s="7">
        <v>45851.881122685183</v>
      </c>
      <c r="B306" s="17">
        <v>1</v>
      </c>
    </row>
    <row r="307" spans="1:2">
      <c r="A307" s="7">
        <v>45853.999768518515</v>
      </c>
      <c r="B307" s="17">
        <v>1</v>
      </c>
    </row>
    <row r="308" spans="1:2">
      <c r="A308" s="7">
        <v>45854.041562500002</v>
      </c>
      <c r="B308" s="17">
        <v>1</v>
      </c>
    </row>
    <row r="309" spans="1:2">
      <c r="A309" s="7">
        <v>45855.855937499997</v>
      </c>
      <c r="B309" s="17">
        <v>1</v>
      </c>
    </row>
    <row r="310" spans="1:2">
      <c r="A310" s="7">
        <v>45857.755740740744</v>
      </c>
      <c r="B310" s="17">
        <v>1</v>
      </c>
    </row>
    <row r="311" spans="1:2">
      <c r="A311" s="7">
        <v>45858.357083333336</v>
      </c>
      <c r="B311" s="17">
        <v>1</v>
      </c>
    </row>
    <row r="312" spans="1:2">
      <c r="A312" s="7">
        <v>45858.839050925926</v>
      </c>
      <c r="B312" s="17">
        <v>1</v>
      </c>
    </row>
    <row r="313" spans="1:2">
      <c r="A313" s="7">
        <v>45861.295254629629</v>
      </c>
      <c r="B313" s="17">
        <v>1</v>
      </c>
    </row>
    <row r="314" spans="1:2">
      <c r="A314" s="7">
        <v>45861.683657407404</v>
      </c>
      <c r="B314" s="17">
        <v>1</v>
      </c>
    </row>
    <row r="315" spans="1:2">
      <c r="A315" s="7">
        <v>45861.943738425929</v>
      </c>
      <c r="B315" s="17">
        <v>1</v>
      </c>
    </row>
    <row r="316" spans="1:2">
      <c r="A316" s="7">
        <v>45862.577962962961</v>
      </c>
      <c r="B316" s="17">
        <v>1</v>
      </c>
    </row>
    <row r="317" spans="1:2">
      <c r="A317" s="7">
        <v>45864.211504629631</v>
      </c>
      <c r="B317" s="17">
        <v>1</v>
      </c>
    </row>
    <row r="318" spans="1:2">
      <c r="A318" s="7">
        <v>45864.765706018516</v>
      </c>
      <c r="B318" s="17">
        <v>1</v>
      </c>
    </row>
    <row r="319" spans="1:2">
      <c r="A319" s="7">
        <v>45865.032465277778</v>
      </c>
      <c r="B319" s="17">
        <v>1</v>
      </c>
    </row>
    <row r="320" spans="1:2">
      <c r="A320" s="7">
        <v>45865.815567129626</v>
      </c>
      <c r="B320" s="17">
        <v>1</v>
      </c>
    </row>
    <row r="321" spans="1:2">
      <c r="A321" s="7">
        <v>45865.917858796296</v>
      </c>
      <c r="B321" s="17">
        <v>1</v>
      </c>
    </row>
    <row r="322" spans="1:2">
      <c r="A322" s="7">
        <v>45867.186712962961</v>
      </c>
      <c r="B322" s="17">
        <v>1</v>
      </c>
    </row>
    <row r="323" spans="1:2">
      <c r="A323" s="7">
        <v>45867.498831018522</v>
      </c>
      <c r="B323" s="17">
        <v>1</v>
      </c>
    </row>
    <row r="324" spans="1:2">
      <c r="A324" s="7">
        <v>45867.602002314816</v>
      </c>
      <c r="B324" s="17">
        <v>1</v>
      </c>
    </row>
    <row r="325" spans="1:2">
      <c r="A325" s="7">
        <v>45867.840902777774</v>
      </c>
      <c r="B325" s="17">
        <v>1</v>
      </c>
    </row>
    <row r="326" spans="1:2">
      <c r="A326" s="7">
        <v>45867.869756944441</v>
      </c>
      <c r="B326" s="17">
        <v>1</v>
      </c>
    </row>
    <row r="327" spans="1:2">
      <c r="A327" s="7">
        <v>45869.945057870369</v>
      </c>
      <c r="B327" s="17">
        <v>1</v>
      </c>
    </row>
    <row r="328" spans="1:2">
      <c r="A328" s="6" t="s">
        <v>803</v>
      </c>
      <c r="B328" s="17">
        <v>35</v>
      </c>
    </row>
    <row r="329" spans="1:2">
      <c r="A329" s="7">
        <v>45873.657210648147</v>
      </c>
      <c r="B329" s="17">
        <v>1</v>
      </c>
    </row>
    <row r="330" spans="1:2">
      <c r="A330" s="7">
        <v>45873.840497685182</v>
      </c>
      <c r="B330" s="17">
        <v>1</v>
      </c>
    </row>
    <row r="331" spans="1:2">
      <c r="A331" s="7">
        <v>45874.754432870373</v>
      </c>
      <c r="B331" s="17">
        <v>1</v>
      </c>
    </row>
    <row r="332" spans="1:2">
      <c r="A332" s="7">
        <v>45875.417256944442</v>
      </c>
      <c r="B332" s="17">
        <v>1</v>
      </c>
    </row>
    <row r="333" spans="1:2">
      <c r="A333" s="7">
        <v>45876.657500000001</v>
      </c>
      <c r="B333" s="17">
        <v>1</v>
      </c>
    </row>
    <row r="334" spans="1:2">
      <c r="A334" s="7">
        <v>45878.16605324074</v>
      </c>
      <c r="B334" s="17">
        <v>1</v>
      </c>
    </row>
    <row r="335" spans="1:2">
      <c r="A335" s="7">
        <v>45879.021585648145</v>
      </c>
      <c r="B335" s="17">
        <v>1</v>
      </c>
    </row>
    <row r="336" spans="1:2">
      <c r="A336" s="7">
        <v>45879.177465277775</v>
      </c>
      <c r="B336" s="17">
        <v>1</v>
      </c>
    </row>
    <row r="337" spans="1:2">
      <c r="A337" s="7">
        <v>45879.811666666668</v>
      </c>
      <c r="B337" s="17">
        <v>1</v>
      </c>
    </row>
    <row r="338" spans="1:2">
      <c r="A338" s="7">
        <v>45881.070567129631</v>
      </c>
      <c r="B338" s="17">
        <v>1</v>
      </c>
    </row>
    <row r="339" spans="1:2">
      <c r="A339" s="7">
        <v>45881.967997685184</v>
      </c>
      <c r="B339" s="17">
        <v>1</v>
      </c>
    </row>
    <row r="340" spans="1:2">
      <c r="A340" s="7">
        <v>45883.610300925924</v>
      </c>
      <c r="B340" s="17">
        <v>1</v>
      </c>
    </row>
    <row r="341" spans="1:2">
      <c r="A341" s="7">
        <v>45883.827685185184</v>
      </c>
      <c r="B341" s="17">
        <v>1</v>
      </c>
    </row>
    <row r="342" spans="1:2">
      <c r="A342" s="7">
        <v>45885.764236111114</v>
      </c>
      <c r="B342" s="17">
        <v>1</v>
      </c>
    </row>
    <row r="343" spans="1:2">
      <c r="A343" s="7">
        <v>45885.816828703704</v>
      </c>
      <c r="B343" s="17">
        <v>1</v>
      </c>
    </row>
    <row r="344" spans="1:2">
      <c r="A344" s="7">
        <v>45886.001307870371</v>
      </c>
      <c r="B344" s="17">
        <v>1</v>
      </c>
    </row>
    <row r="345" spans="1:2">
      <c r="A345" s="7">
        <v>45887.270509259259</v>
      </c>
      <c r="B345" s="17">
        <v>1</v>
      </c>
    </row>
    <row r="346" spans="1:2">
      <c r="A346" s="7">
        <v>45887.83121527778</v>
      </c>
      <c r="B346" s="17">
        <v>1</v>
      </c>
    </row>
    <row r="347" spans="1:2">
      <c r="A347" s="7">
        <v>45890.504224537035</v>
      </c>
      <c r="B347" s="17">
        <v>1</v>
      </c>
    </row>
    <row r="348" spans="1:2">
      <c r="A348" s="7">
        <v>45890.77815972222</v>
      </c>
      <c r="B348" s="17">
        <v>1</v>
      </c>
    </row>
    <row r="349" spans="1:2">
      <c r="A349" s="7">
        <v>45890.995520833334</v>
      </c>
      <c r="B349" s="17">
        <v>1</v>
      </c>
    </row>
    <row r="350" spans="1:2">
      <c r="A350" s="7">
        <v>45892.265821759262</v>
      </c>
      <c r="B350" s="17">
        <v>1</v>
      </c>
    </row>
    <row r="351" spans="1:2">
      <c r="A351" s="7">
        <v>45892.278449074074</v>
      </c>
      <c r="B351" s="17">
        <v>1</v>
      </c>
    </row>
    <row r="352" spans="1:2">
      <c r="A352" s="7">
        <v>45892.312291666669</v>
      </c>
      <c r="B352" s="17">
        <v>1</v>
      </c>
    </row>
    <row r="353" spans="1:2">
      <c r="A353" s="7">
        <v>45894.097187500003</v>
      </c>
      <c r="B353" s="17">
        <v>1</v>
      </c>
    </row>
    <row r="354" spans="1:2">
      <c r="A354" s="7">
        <v>45894.837002314816</v>
      </c>
      <c r="B354" s="17">
        <v>1</v>
      </c>
    </row>
    <row r="355" spans="1:2">
      <c r="A355" s="7">
        <v>45894.93509259259</v>
      </c>
      <c r="B355" s="17">
        <v>1</v>
      </c>
    </row>
    <row r="356" spans="1:2">
      <c r="A356" s="7">
        <v>45896.063622685186</v>
      </c>
      <c r="B356" s="17">
        <v>1</v>
      </c>
    </row>
    <row r="357" spans="1:2">
      <c r="A357" s="7">
        <v>45898.129826388889</v>
      </c>
      <c r="B357" s="17">
        <v>1</v>
      </c>
    </row>
    <row r="358" spans="1:2">
      <c r="A358" s="7">
        <v>45898.275509259256</v>
      </c>
      <c r="B358" s="17">
        <v>1</v>
      </c>
    </row>
    <row r="359" spans="1:2">
      <c r="A359" s="7">
        <v>45898.603333333333</v>
      </c>
      <c r="B359" s="17">
        <v>1</v>
      </c>
    </row>
    <row r="360" spans="1:2">
      <c r="A360" s="7">
        <v>45898.887835648151</v>
      </c>
      <c r="B360" s="17">
        <v>1</v>
      </c>
    </row>
    <row r="361" spans="1:2">
      <c r="A361" s="7">
        <v>45898.914259259262</v>
      </c>
      <c r="B361" s="17">
        <v>1</v>
      </c>
    </row>
    <row r="362" spans="1:2">
      <c r="A362" s="7">
        <v>45899.892118055555</v>
      </c>
      <c r="B362" s="17">
        <v>1</v>
      </c>
    </row>
    <row r="363" spans="1:2">
      <c r="A363" s="7">
        <v>45900.21634259259</v>
      </c>
      <c r="B363" s="17">
        <v>1</v>
      </c>
    </row>
    <row r="364" spans="1:2">
      <c r="A364" s="6" t="s">
        <v>804</v>
      </c>
      <c r="B364" s="17">
        <v>48</v>
      </c>
    </row>
    <row r="365" spans="1:2">
      <c r="A365" s="7">
        <v>45901.166921296295</v>
      </c>
      <c r="B365" s="17">
        <v>1</v>
      </c>
    </row>
    <row r="366" spans="1:2">
      <c r="A366" s="7">
        <v>45901.324826388889</v>
      </c>
      <c r="B366" s="17">
        <v>1</v>
      </c>
    </row>
    <row r="367" spans="1:2">
      <c r="A367" s="7">
        <v>45901.327013888891</v>
      </c>
      <c r="B367" s="17">
        <v>1</v>
      </c>
    </row>
    <row r="368" spans="1:2">
      <c r="A368" s="7">
        <v>45901.492523148147</v>
      </c>
      <c r="B368" s="17">
        <v>1</v>
      </c>
    </row>
    <row r="369" spans="1:2">
      <c r="A369" s="7">
        <v>45901.540625000001</v>
      </c>
      <c r="B369" s="17">
        <v>1</v>
      </c>
    </row>
    <row r="370" spans="1:2">
      <c r="A370" s="7">
        <v>45903.201851851853</v>
      </c>
      <c r="B370" s="17">
        <v>1</v>
      </c>
    </row>
    <row r="371" spans="1:2">
      <c r="A371" s="7">
        <v>45904.399861111109</v>
      </c>
      <c r="B371" s="17">
        <v>1</v>
      </c>
    </row>
    <row r="372" spans="1:2">
      <c r="A372" s="7">
        <v>45906.805821759262</v>
      </c>
      <c r="B372" s="17">
        <v>1</v>
      </c>
    </row>
    <row r="373" spans="1:2">
      <c r="A373" s="7">
        <v>45908.133946759262</v>
      </c>
      <c r="B373" s="17">
        <v>1</v>
      </c>
    </row>
    <row r="374" spans="1:2">
      <c r="A374" s="7">
        <v>45908.722534722219</v>
      </c>
      <c r="B374" s="17">
        <v>1</v>
      </c>
    </row>
    <row r="375" spans="1:2">
      <c r="A375" s="7">
        <v>45908.806574074071</v>
      </c>
      <c r="B375" s="17">
        <v>1</v>
      </c>
    </row>
    <row r="376" spans="1:2">
      <c r="A376" s="7">
        <v>45908.865810185183</v>
      </c>
      <c r="B376" s="17">
        <v>1</v>
      </c>
    </row>
    <row r="377" spans="1:2">
      <c r="A377" s="7">
        <v>45909.196979166663</v>
      </c>
      <c r="B377" s="17">
        <v>1</v>
      </c>
    </row>
    <row r="378" spans="1:2">
      <c r="A378" s="7">
        <v>45909.345127314817</v>
      </c>
      <c r="B378" s="17">
        <v>1</v>
      </c>
    </row>
    <row r="379" spans="1:2">
      <c r="A379" s="7">
        <v>45909.762060185189</v>
      </c>
      <c r="B379" s="17">
        <v>1</v>
      </c>
    </row>
    <row r="380" spans="1:2">
      <c r="A380" s="7">
        <v>45910.789282407408</v>
      </c>
      <c r="B380" s="17">
        <v>1</v>
      </c>
    </row>
    <row r="381" spans="1:2">
      <c r="A381" s="7">
        <v>45911.472210648149</v>
      </c>
      <c r="B381" s="17">
        <v>1</v>
      </c>
    </row>
    <row r="382" spans="1:2">
      <c r="A382" s="7">
        <v>45911.476134259261</v>
      </c>
      <c r="B382" s="17">
        <v>1</v>
      </c>
    </row>
    <row r="383" spans="1:2">
      <c r="A383" s="7">
        <v>45911.745393518519</v>
      </c>
      <c r="B383" s="17">
        <v>1</v>
      </c>
    </row>
    <row r="384" spans="1:2">
      <c r="A384" s="7">
        <v>45912.221018518518</v>
      </c>
      <c r="B384" s="17">
        <v>1</v>
      </c>
    </row>
    <row r="385" spans="1:2">
      <c r="A385" s="7">
        <v>45912.618425925924</v>
      </c>
      <c r="B385" s="17">
        <v>1</v>
      </c>
    </row>
    <row r="386" spans="1:2">
      <c r="A386" s="7">
        <v>45913.286620370367</v>
      </c>
      <c r="B386" s="17">
        <v>1</v>
      </c>
    </row>
    <row r="387" spans="1:2">
      <c r="A387" s="7">
        <v>45913.374236111114</v>
      </c>
      <c r="B387" s="17">
        <v>1</v>
      </c>
    </row>
    <row r="388" spans="1:2">
      <c r="A388" s="7">
        <v>45914.149201388886</v>
      </c>
      <c r="B388" s="17">
        <v>1</v>
      </c>
    </row>
    <row r="389" spans="1:2">
      <c r="A389" s="7">
        <v>45914.475729166668</v>
      </c>
      <c r="B389" s="17">
        <v>1</v>
      </c>
    </row>
    <row r="390" spans="1:2">
      <c r="A390" s="7">
        <v>45914.535000000003</v>
      </c>
      <c r="B390" s="17">
        <v>1</v>
      </c>
    </row>
    <row r="391" spans="1:2">
      <c r="A391" s="7">
        <v>45916.17359953704</v>
      </c>
      <c r="B391" s="17">
        <v>1</v>
      </c>
    </row>
    <row r="392" spans="1:2">
      <c r="A392" s="7">
        <v>45917.071875000001</v>
      </c>
      <c r="B392" s="17">
        <v>1</v>
      </c>
    </row>
    <row r="393" spans="1:2">
      <c r="A393" s="7">
        <v>45918.066076388888</v>
      </c>
      <c r="B393" s="17">
        <v>1</v>
      </c>
    </row>
    <row r="394" spans="1:2">
      <c r="A394" s="7">
        <v>45918.196215277778</v>
      </c>
      <c r="B394" s="17">
        <v>1</v>
      </c>
    </row>
    <row r="395" spans="1:2">
      <c r="A395" s="7">
        <v>45918.669027777774</v>
      </c>
      <c r="B395" s="17">
        <v>1</v>
      </c>
    </row>
    <row r="396" spans="1:2">
      <c r="A396" s="7">
        <v>45919.097002314818</v>
      </c>
      <c r="B396" s="17">
        <v>1</v>
      </c>
    </row>
    <row r="397" spans="1:2">
      <c r="A397" s="7">
        <v>45919.90347222222</v>
      </c>
      <c r="B397" s="17">
        <v>1</v>
      </c>
    </row>
    <row r="398" spans="1:2">
      <c r="A398" s="7">
        <v>45920.641250000001</v>
      </c>
      <c r="B398" s="17">
        <v>1</v>
      </c>
    </row>
    <row r="399" spans="1:2">
      <c r="A399" s="7">
        <v>45921.198506944442</v>
      </c>
      <c r="B399" s="17">
        <v>1</v>
      </c>
    </row>
    <row r="400" spans="1:2">
      <c r="A400" s="7">
        <v>45923.087210648147</v>
      </c>
      <c r="B400" s="17">
        <v>1</v>
      </c>
    </row>
    <row r="401" spans="1:2">
      <c r="A401" s="7">
        <v>45923.484976851854</v>
      </c>
      <c r="B401" s="17">
        <v>1</v>
      </c>
    </row>
    <row r="402" spans="1:2">
      <c r="A402" s="7">
        <v>45923.710162037038</v>
      </c>
      <c r="B402" s="17">
        <v>1</v>
      </c>
    </row>
    <row r="403" spans="1:2">
      <c r="A403" s="7">
        <v>45923.81931712963</v>
      </c>
      <c r="B403" s="17">
        <v>1</v>
      </c>
    </row>
    <row r="404" spans="1:2">
      <c r="A404" s="7">
        <v>45923.909016203703</v>
      </c>
      <c r="B404" s="17">
        <v>1</v>
      </c>
    </row>
    <row r="405" spans="1:2">
      <c r="A405" s="7">
        <v>45924.445428240739</v>
      </c>
      <c r="B405" s="17">
        <v>1</v>
      </c>
    </row>
    <row r="406" spans="1:2">
      <c r="A406" s="7">
        <v>45925.228495370371</v>
      </c>
      <c r="B406" s="17">
        <v>1</v>
      </c>
    </row>
    <row r="407" spans="1:2">
      <c r="A407" s="7">
        <v>45925.95621527778</v>
      </c>
      <c r="B407" s="17">
        <v>1</v>
      </c>
    </row>
    <row r="408" spans="1:2">
      <c r="A408" s="7">
        <v>45926.99287037037</v>
      </c>
      <c r="B408" s="17">
        <v>1</v>
      </c>
    </row>
    <row r="409" spans="1:2">
      <c r="A409" s="7">
        <v>45927.255509259259</v>
      </c>
      <c r="B409" s="17">
        <v>1</v>
      </c>
    </row>
    <row r="410" spans="1:2">
      <c r="A410" s="7">
        <v>45927.998680555553</v>
      </c>
      <c r="B410" s="17">
        <v>1</v>
      </c>
    </row>
    <row r="411" spans="1:2">
      <c r="A411" s="7">
        <v>45928.086076388892</v>
      </c>
      <c r="B411" s="17">
        <v>1</v>
      </c>
    </row>
    <row r="412" spans="1:2">
      <c r="A412" s="7">
        <v>45929.213414351849</v>
      </c>
      <c r="B412" s="17">
        <v>1</v>
      </c>
    </row>
    <row r="413" spans="1:2">
      <c r="A413" s="6" t="s">
        <v>805</v>
      </c>
      <c r="B413" s="17">
        <v>37</v>
      </c>
    </row>
    <row r="414" spans="1:2">
      <c r="A414" s="7">
        <v>45931.317696759259</v>
      </c>
      <c r="B414" s="17">
        <v>1</v>
      </c>
    </row>
    <row r="415" spans="1:2">
      <c r="A415" s="7">
        <v>45932.08625</v>
      </c>
      <c r="B415" s="17">
        <v>1</v>
      </c>
    </row>
    <row r="416" spans="1:2">
      <c r="A416" s="7">
        <v>45932.953159722223</v>
      </c>
      <c r="B416" s="17">
        <v>1</v>
      </c>
    </row>
    <row r="417" spans="1:2">
      <c r="A417" s="7">
        <v>45933.084699074076</v>
      </c>
      <c r="B417" s="17">
        <v>1</v>
      </c>
    </row>
    <row r="418" spans="1:2">
      <c r="A418" s="7">
        <v>45933.933171296296</v>
      </c>
      <c r="B418" s="17">
        <v>1</v>
      </c>
    </row>
    <row r="419" spans="1:2">
      <c r="A419" s="7">
        <v>45934.614918981482</v>
      </c>
      <c r="B419" s="17">
        <v>1</v>
      </c>
    </row>
    <row r="420" spans="1:2">
      <c r="A420" s="7">
        <v>45934.978981481479</v>
      </c>
      <c r="B420" s="17">
        <v>1</v>
      </c>
    </row>
    <row r="421" spans="1:2">
      <c r="A421" s="7">
        <v>45935.254178240742</v>
      </c>
      <c r="B421" s="17">
        <v>1</v>
      </c>
    </row>
    <row r="422" spans="1:2">
      <c r="A422" s="7">
        <v>45936.275185185186</v>
      </c>
      <c r="B422" s="17">
        <v>1</v>
      </c>
    </row>
    <row r="423" spans="1:2">
      <c r="A423" s="7">
        <v>45936.850138888891</v>
      </c>
      <c r="B423" s="17">
        <v>1</v>
      </c>
    </row>
    <row r="424" spans="1:2">
      <c r="A424" s="7">
        <v>45936.977430555555</v>
      </c>
      <c r="B424" s="17">
        <v>1</v>
      </c>
    </row>
    <row r="425" spans="1:2">
      <c r="A425" s="7">
        <v>45937.242881944447</v>
      </c>
      <c r="B425" s="17">
        <v>1</v>
      </c>
    </row>
    <row r="426" spans="1:2">
      <c r="A426" s="7">
        <v>45937.655671296299</v>
      </c>
      <c r="B426" s="17">
        <v>1</v>
      </c>
    </row>
    <row r="427" spans="1:2">
      <c r="A427" s="7">
        <v>45938.604907407411</v>
      </c>
      <c r="B427" s="17">
        <v>1</v>
      </c>
    </row>
    <row r="428" spans="1:2">
      <c r="A428" s="7">
        <v>45939.192731481482</v>
      </c>
      <c r="B428" s="17">
        <v>1</v>
      </c>
    </row>
    <row r="429" spans="1:2">
      <c r="A429" s="7">
        <v>45942.402199074073</v>
      </c>
      <c r="B429" s="17">
        <v>1</v>
      </c>
    </row>
    <row r="430" spans="1:2">
      <c r="A430" s="7">
        <v>45944.661527777775</v>
      </c>
      <c r="B430" s="17">
        <v>1</v>
      </c>
    </row>
    <row r="431" spans="1:2">
      <c r="A431" s="7">
        <v>45944.8590625</v>
      </c>
      <c r="B431" s="17">
        <v>1</v>
      </c>
    </row>
    <row r="432" spans="1:2">
      <c r="A432" s="7">
        <v>45949.275787037041</v>
      </c>
      <c r="B432" s="17">
        <v>1</v>
      </c>
    </row>
    <row r="433" spans="1:2">
      <c r="A433" s="7">
        <v>45949.591851851852</v>
      </c>
      <c r="B433" s="17">
        <v>1</v>
      </c>
    </row>
    <row r="434" spans="1:2">
      <c r="A434" s="7">
        <v>45949.879074074073</v>
      </c>
      <c r="B434" s="17">
        <v>1</v>
      </c>
    </row>
    <row r="435" spans="1:2">
      <c r="A435" s="7">
        <v>45950.687800925924</v>
      </c>
      <c r="B435" s="17">
        <v>1</v>
      </c>
    </row>
    <row r="436" spans="1:2">
      <c r="A436" s="7">
        <v>45950.836273148147</v>
      </c>
      <c r="B436" s="17">
        <v>1</v>
      </c>
    </row>
    <row r="437" spans="1:2">
      <c r="A437" s="7">
        <v>45951.160844907405</v>
      </c>
      <c r="B437" s="17">
        <v>1</v>
      </c>
    </row>
    <row r="438" spans="1:2">
      <c r="A438" s="7">
        <v>45952.174756944441</v>
      </c>
      <c r="B438" s="17">
        <v>1</v>
      </c>
    </row>
    <row r="439" spans="1:2">
      <c r="A439" s="7">
        <v>45953.837546296294</v>
      </c>
      <c r="B439" s="17">
        <v>1</v>
      </c>
    </row>
    <row r="440" spans="1:2">
      <c r="A440" s="7">
        <v>45954.196145833332</v>
      </c>
      <c r="B440" s="17">
        <v>1</v>
      </c>
    </row>
    <row r="441" spans="1:2">
      <c r="A441" s="7">
        <v>45955.152511574073</v>
      </c>
      <c r="B441" s="17">
        <v>1</v>
      </c>
    </row>
    <row r="442" spans="1:2">
      <c r="A442" s="7">
        <v>45955.258530092593</v>
      </c>
      <c r="B442" s="17">
        <v>1</v>
      </c>
    </row>
    <row r="443" spans="1:2">
      <c r="A443" s="7">
        <v>45955.357106481482</v>
      </c>
      <c r="B443" s="17">
        <v>1</v>
      </c>
    </row>
    <row r="444" spans="1:2">
      <c r="A444" s="7">
        <v>45956.54959490741</v>
      </c>
      <c r="B444" s="17">
        <v>1</v>
      </c>
    </row>
    <row r="445" spans="1:2">
      <c r="A445" s="7">
        <v>45956.7965625</v>
      </c>
      <c r="B445" s="17">
        <v>1</v>
      </c>
    </row>
    <row r="446" spans="1:2">
      <c r="A446" s="7">
        <v>45956.928680555553</v>
      </c>
      <c r="B446" s="17">
        <v>1</v>
      </c>
    </row>
    <row r="447" spans="1:2">
      <c r="A447" s="7">
        <v>45956.990983796299</v>
      </c>
      <c r="B447" s="17">
        <v>1</v>
      </c>
    </row>
    <row r="448" spans="1:2">
      <c r="A448" s="7">
        <v>45957.269895833335</v>
      </c>
      <c r="B448" s="17">
        <v>1</v>
      </c>
    </row>
    <row r="449" spans="1:2">
      <c r="A449" s="7">
        <v>45957.583796296298</v>
      </c>
      <c r="B449" s="17">
        <v>1</v>
      </c>
    </row>
    <row r="450" spans="1:2">
      <c r="A450" s="7">
        <v>45959.850185185183</v>
      </c>
      <c r="B450" s="17">
        <v>1</v>
      </c>
    </row>
    <row r="451" spans="1:2">
      <c r="A451" s="6" t="s">
        <v>806</v>
      </c>
      <c r="B451" s="17">
        <v>44</v>
      </c>
    </row>
    <row r="452" spans="1:2">
      <c r="A452" s="7">
        <v>45962.730925925927</v>
      </c>
      <c r="B452" s="17">
        <v>1</v>
      </c>
    </row>
    <row r="453" spans="1:2">
      <c r="A453" s="7">
        <v>45963.467951388891</v>
      </c>
      <c r="B453" s="17">
        <v>1</v>
      </c>
    </row>
    <row r="454" spans="1:2">
      <c r="A454" s="7">
        <v>45963.912777777776</v>
      </c>
      <c r="B454" s="17">
        <v>1</v>
      </c>
    </row>
    <row r="455" spans="1:2">
      <c r="A455" s="7">
        <v>45964.024953703702</v>
      </c>
      <c r="B455" s="17">
        <v>1</v>
      </c>
    </row>
    <row r="456" spans="1:2">
      <c r="A456" s="7">
        <v>45964.384467592594</v>
      </c>
      <c r="B456" s="17">
        <v>1</v>
      </c>
    </row>
    <row r="457" spans="1:2">
      <c r="A457" s="7">
        <v>45965.059687499997</v>
      </c>
      <c r="B457" s="17">
        <v>1</v>
      </c>
    </row>
    <row r="458" spans="1:2">
      <c r="A458" s="7">
        <v>45965.280300925922</v>
      </c>
      <c r="B458" s="17">
        <v>1</v>
      </c>
    </row>
    <row r="459" spans="1:2">
      <c r="A459" s="7">
        <v>45965.672465277778</v>
      </c>
      <c r="B459" s="17">
        <v>1</v>
      </c>
    </row>
    <row r="460" spans="1:2">
      <c r="A460" s="7">
        <v>45967.287511574075</v>
      </c>
      <c r="B460" s="17">
        <v>1</v>
      </c>
    </row>
    <row r="461" spans="1:2">
      <c r="A461" s="7">
        <v>45967.364849537036</v>
      </c>
      <c r="B461" s="17">
        <v>1</v>
      </c>
    </row>
    <row r="462" spans="1:2">
      <c r="A462" s="7">
        <v>45967.412754629629</v>
      </c>
      <c r="B462" s="17">
        <v>1</v>
      </c>
    </row>
    <row r="463" spans="1:2">
      <c r="A463" s="7">
        <v>45967.937986111108</v>
      </c>
      <c r="B463" s="17">
        <v>1</v>
      </c>
    </row>
    <row r="464" spans="1:2">
      <c r="A464" s="7">
        <v>45968.712638888886</v>
      </c>
      <c r="B464" s="17">
        <v>1</v>
      </c>
    </row>
    <row r="465" spans="1:2">
      <c r="A465" s="7">
        <v>45972.467499999999</v>
      </c>
      <c r="B465" s="17">
        <v>1</v>
      </c>
    </row>
    <row r="466" spans="1:2">
      <c r="A466" s="7">
        <v>45973.813622685186</v>
      </c>
      <c r="B466" s="17">
        <v>1</v>
      </c>
    </row>
    <row r="467" spans="1:2">
      <c r="A467" s="7">
        <v>45974.502546296295</v>
      </c>
      <c r="B467" s="17">
        <v>1</v>
      </c>
    </row>
    <row r="468" spans="1:2">
      <c r="A468" s="7">
        <v>45974.5390625</v>
      </c>
      <c r="B468" s="17">
        <v>1</v>
      </c>
    </row>
    <row r="469" spans="1:2">
      <c r="A469" s="7">
        <v>45975.344351851854</v>
      </c>
      <c r="B469" s="17">
        <v>1</v>
      </c>
    </row>
    <row r="470" spans="1:2">
      <c r="A470" s="7">
        <v>45975.60796296296</v>
      </c>
      <c r="B470" s="17">
        <v>1</v>
      </c>
    </row>
    <row r="471" spans="1:2">
      <c r="A471" s="7">
        <v>45975.671805555554</v>
      </c>
      <c r="B471" s="17">
        <v>1</v>
      </c>
    </row>
    <row r="472" spans="1:2">
      <c r="A472" s="7">
        <v>45975.704780092594</v>
      </c>
      <c r="B472" s="17">
        <v>1</v>
      </c>
    </row>
    <row r="473" spans="1:2">
      <c r="A473" s="7">
        <v>45975.748229166667</v>
      </c>
      <c r="B473" s="17">
        <v>1</v>
      </c>
    </row>
    <row r="474" spans="1:2">
      <c r="A474" s="7">
        <v>45978.555590277778</v>
      </c>
      <c r="B474" s="17">
        <v>1</v>
      </c>
    </row>
    <row r="475" spans="1:2">
      <c r="A475" s="7">
        <v>45979.538182870368</v>
      </c>
      <c r="B475" s="17">
        <v>1</v>
      </c>
    </row>
    <row r="476" spans="1:2">
      <c r="A476" s="7">
        <v>45979.788402777776</v>
      </c>
      <c r="B476" s="17">
        <v>1</v>
      </c>
    </row>
    <row r="477" spans="1:2">
      <c r="A477" s="7">
        <v>45979.905266203707</v>
      </c>
      <c r="B477" s="17">
        <v>1</v>
      </c>
    </row>
    <row r="478" spans="1:2">
      <c r="A478" s="7">
        <v>45982.376863425925</v>
      </c>
      <c r="B478" s="17">
        <v>1</v>
      </c>
    </row>
    <row r="479" spans="1:2">
      <c r="A479" s="7">
        <v>45982.938622685186</v>
      </c>
      <c r="B479" s="17">
        <v>1</v>
      </c>
    </row>
    <row r="480" spans="1:2">
      <c r="A480" s="7">
        <v>45983.04724537037</v>
      </c>
      <c r="B480" s="17">
        <v>1</v>
      </c>
    </row>
    <row r="481" spans="1:2">
      <c r="A481" s="7">
        <v>45983.545335648145</v>
      </c>
      <c r="B481" s="17">
        <v>1</v>
      </c>
    </row>
    <row r="482" spans="1:2">
      <c r="A482" s="7">
        <v>45984.086365740739</v>
      </c>
      <c r="B482" s="17">
        <v>1</v>
      </c>
    </row>
    <row r="483" spans="1:2">
      <c r="A483" s="7">
        <v>45985.166481481479</v>
      </c>
      <c r="B483" s="17">
        <v>1</v>
      </c>
    </row>
    <row r="484" spans="1:2">
      <c r="A484" s="7">
        <v>45986.031331018516</v>
      </c>
      <c r="B484" s="17">
        <v>1</v>
      </c>
    </row>
    <row r="485" spans="1:2">
      <c r="A485" s="7">
        <v>45986.09883101852</v>
      </c>
      <c r="B485" s="17">
        <v>1</v>
      </c>
    </row>
    <row r="486" spans="1:2">
      <c r="A486" s="7">
        <v>45986.382453703707</v>
      </c>
      <c r="B486" s="17">
        <v>1</v>
      </c>
    </row>
    <row r="487" spans="1:2">
      <c r="A487" s="7">
        <v>45986.599664351852</v>
      </c>
      <c r="B487" s="17">
        <v>1</v>
      </c>
    </row>
    <row r="488" spans="1:2">
      <c r="A488" s="7">
        <v>45988.131284722222</v>
      </c>
      <c r="B488" s="17">
        <v>1</v>
      </c>
    </row>
    <row r="489" spans="1:2">
      <c r="A489" s="7">
        <v>45988.228101851855</v>
      </c>
      <c r="B489" s="17">
        <v>1</v>
      </c>
    </row>
    <row r="490" spans="1:2">
      <c r="A490" s="7">
        <v>45988.490231481483</v>
      </c>
      <c r="B490" s="17">
        <v>1</v>
      </c>
    </row>
    <row r="491" spans="1:2">
      <c r="A491" s="7">
        <v>45989.347094907411</v>
      </c>
      <c r="B491" s="17">
        <v>1</v>
      </c>
    </row>
    <row r="492" spans="1:2">
      <c r="A492" s="7">
        <v>45990.506493055553</v>
      </c>
      <c r="B492" s="17">
        <v>1</v>
      </c>
    </row>
    <row r="493" spans="1:2">
      <c r="A493" s="7">
        <v>45990.730243055557</v>
      </c>
      <c r="B493" s="17">
        <v>1</v>
      </c>
    </row>
    <row r="494" spans="1:2">
      <c r="A494" s="7">
        <v>45991.547638888886</v>
      </c>
      <c r="B494" s="17">
        <v>1</v>
      </c>
    </row>
    <row r="495" spans="1:2">
      <c r="A495" s="7">
        <v>45991.690787037034</v>
      </c>
      <c r="B495" s="17">
        <v>1</v>
      </c>
    </row>
    <row r="496" spans="1:2">
      <c r="A496" s="6" t="s">
        <v>807</v>
      </c>
      <c r="B496" s="17">
        <v>19</v>
      </c>
    </row>
    <row r="497" spans="1:2">
      <c r="A497" s="7">
        <v>45992.657719907409</v>
      </c>
      <c r="B497" s="17">
        <v>1</v>
      </c>
    </row>
    <row r="498" spans="1:2">
      <c r="A498" s="7">
        <v>45994.269456018519</v>
      </c>
      <c r="B498" s="17">
        <v>1</v>
      </c>
    </row>
    <row r="499" spans="1:2">
      <c r="A499" s="7">
        <v>45995.968194444446</v>
      </c>
      <c r="B499" s="17">
        <v>1</v>
      </c>
    </row>
    <row r="500" spans="1:2">
      <c r="A500" s="7">
        <v>45996.307685185187</v>
      </c>
      <c r="B500" s="17">
        <v>1</v>
      </c>
    </row>
    <row r="501" spans="1:2">
      <c r="A501" s="7">
        <v>45996.522199074076</v>
      </c>
      <c r="B501" s="17">
        <v>1</v>
      </c>
    </row>
    <row r="502" spans="1:2">
      <c r="A502" s="7">
        <v>45996.707476851851</v>
      </c>
      <c r="B502" s="17">
        <v>1</v>
      </c>
    </row>
    <row r="503" spans="1:2">
      <c r="A503" s="7">
        <v>45997.424293981479</v>
      </c>
      <c r="B503" s="17">
        <v>1</v>
      </c>
    </row>
    <row r="504" spans="1:2">
      <c r="A504" s="7">
        <v>45997.879791666666</v>
      </c>
      <c r="B504" s="17">
        <v>1</v>
      </c>
    </row>
    <row r="505" spans="1:2">
      <c r="A505" s="7">
        <v>45997.896724537037</v>
      </c>
      <c r="B505" s="17">
        <v>1</v>
      </c>
    </row>
    <row r="506" spans="1:2">
      <c r="A506" s="7">
        <v>45998.527824074074</v>
      </c>
      <c r="B506" s="17">
        <v>1</v>
      </c>
    </row>
    <row r="507" spans="1:2">
      <c r="A507" s="7">
        <v>45998.678101851852</v>
      </c>
      <c r="B507" s="17">
        <v>1</v>
      </c>
    </row>
    <row r="508" spans="1:2">
      <c r="A508" s="7">
        <v>45999.077175925922</v>
      </c>
      <c r="B508" s="17">
        <v>1</v>
      </c>
    </row>
    <row r="509" spans="1:2">
      <c r="A509" s="7">
        <v>46001.783726851849</v>
      </c>
      <c r="B509" s="17">
        <v>1</v>
      </c>
    </row>
    <row r="510" spans="1:2">
      <c r="A510" s="7">
        <v>46003.211574074077</v>
      </c>
      <c r="B510" s="17">
        <v>1</v>
      </c>
    </row>
    <row r="511" spans="1:2">
      <c r="A511" s="7">
        <v>46004.0156712963</v>
      </c>
      <c r="B511" s="17">
        <v>1</v>
      </c>
    </row>
    <row r="512" spans="1:2">
      <c r="A512" s="7">
        <v>46004.456284722219</v>
      </c>
      <c r="B512" s="17">
        <v>1</v>
      </c>
    </row>
    <row r="513" spans="1:2">
      <c r="A513" s="7">
        <v>46004.941874999997</v>
      </c>
      <c r="B513" s="17">
        <v>1</v>
      </c>
    </row>
    <row r="514" spans="1:2">
      <c r="A514" s="7">
        <v>46005.68173611111</v>
      </c>
      <c r="B514" s="17">
        <v>1</v>
      </c>
    </row>
    <row r="515" spans="1:2">
      <c r="A515" s="7">
        <v>46005.928599537037</v>
      </c>
      <c r="B515" s="17">
        <v>1</v>
      </c>
    </row>
    <row r="516" spans="1:2">
      <c r="A516" s="6" t="s">
        <v>791</v>
      </c>
      <c r="B516" s="17">
        <v>500</v>
      </c>
    </row>
  </sheetData>
  <phoneticPr fontId="2"/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FFF5E-74AF-42D8-BFBE-24FC328769FD}">
  <dimension ref="A1:B516"/>
  <sheetViews>
    <sheetView workbookViewId="0">
      <selection activeCell="A11" sqref="A11"/>
    </sheetView>
  </sheetViews>
  <sheetFormatPr defaultRowHeight="13"/>
  <cols>
    <col min="1" max="1" width="15.7265625" bestFit="1" customWidth="1"/>
    <col min="2" max="2" width="22.1796875" bestFit="1" customWidth="1"/>
  </cols>
  <sheetData>
    <row r="1" spans="1:2">
      <c r="A1" t="s">
        <v>818</v>
      </c>
    </row>
    <row r="3" spans="1:2">
      <c r="A3" s="5" t="s">
        <v>793</v>
      </c>
      <c r="B3" t="s">
        <v>795</v>
      </c>
    </row>
    <row r="4" spans="1:2">
      <c r="A4" s="6" t="s">
        <v>796</v>
      </c>
      <c r="B4" s="17">
        <v>67255.319148936163</v>
      </c>
    </row>
    <row r="5" spans="1:2">
      <c r="A5" s="7">
        <v>45658.783113425925</v>
      </c>
      <c r="B5" s="17">
        <v>62000</v>
      </c>
    </row>
    <row r="6" spans="1:2">
      <c r="A6" s="7">
        <v>45658.81759259259</v>
      </c>
      <c r="B6" s="17">
        <v>74000</v>
      </c>
    </row>
    <row r="7" spans="1:2">
      <c r="A7" s="7">
        <v>45659.067048611112</v>
      </c>
      <c r="B7" s="17">
        <v>58500</v>
      </c>
    </row>
    <row r="8" spans="1:2">
      <c r="A8" s="7">
        <v>45659.366122685184</v>
      </c>
      <c r="B8" s="17">
        <v>11500</v>
      </c>
    </row>
    <row r="9" spans="1:2">
      <c r="A9" s="7">
        <v>45660.2890625</v>
      </c>
      <c r="B9" s="17">
        <v>78500</v>
      </c>
    </row>
    <row r="10" spans="1:2">
      <c r="A10" s="7">
        <v>45661.788877314815</v>
      </c>
      <c r="B10" s="17">
        <v>64500</v>
      </c>
    </row>
    <row r="11" spans="1:2">
      <c r="A11" s="7">
        <v>45662.902430555558</v>
      </c>
      <c r="B11" s="17">
        <v>76500</v>
      </c>
    </row>
    <row r="12" spans="1:2">
      <c r="A12" s="7">
        <v>45663.18917824074</v>
      </c>
      <c r="B12" s="17">
        <v>41500</v>
      </c>
    </row>
    <row r="13" spans="1:2">
      <c r="A13" s="7">
        <v>45663.758819444447</v>
      </c>
      <c r="B13" s="17">
        <v>24000</v>
      </c>
    </row>
    <row r="14" spans="1:2">
      <c r="A14" s="7">
        <v>45664.155451388891</v>
      </c>
      <c r="B14" s="17">
        <v>134500</v>
      </c>
    </row>
    <row r="15" spans="1:2">
      <c r="A15" s="7">
        <v>45664.368310185186</v>
      </c>
      <c r="B15" s="17">
        <v>78000</v>
      </c>
    </row>
    <row r="16" spans="1:2">
      <c r="A16" s="7">
        <v>45665.356539351851</v>
      </c>
      <c r="B16" s="17">
        <v>28000</v>
      </c>
    </row>
    <row r="17" spans="1:2">
      <c r="A17" s="7">
        <v>45665.818402777775</v>
      </c>
      <c r="B17" s="17">
        <v>22500</v>
      </c>
    </row>
    <row r="18" spans="1:2">
      <c r="A18" s="7">
        <v>45666.190844907411</v>
      </c>
      <c r="B18" s="17">
        <v>86000</v>
      </c>
    </row>
    <row r="19" spans="1:2">
      <c r="A19" s="7">
        <v>45670.409722222219</v>
      </c>
      <c r="B19" s="17">
        <v>76000</v>
      </c>
    </row>
    <row r="20" spans="1:2">
      <c r="A20" s="7">
        <v>45670.414895833332</v>
      </c>
      <c r="B20" s="17">
        <v>29000</v>
      </c>
    </row>
    <row r="21" spans="1:2">
      <c r="A21" s="7">
        <v>45672.068310185183</v>
      </c>
      <c r="B21" s="17">
        <v>103000</v>
      </c>
    </row>
    <row r="22" spans="1:2">
      <c r="A22" s="7">
        <v>45672.15357638889</v>
      </c>
      <c r="B22" s="17">
        <v>126000</v>
      </c>
    </row>
    <row r="23" spans="1:2">
      <c r="A23" s="7">
        <v>45672.891701388886</v>
      </c>
      <c r="B23" s="17">
        <v>122000</v>
      </c>
    </row>
    <row r="24" spans="1:2">
      <c r="A24" s="7">
        <v>45673.133171296293</v>
      </c>
      <c r="B24" s="17">
        <v>94000</v>
      </c>
    </row>
    <row r="25" spans="1:2">
      <c r="A25" s="7">
        <v>45673.555868055555</v>
      </c>
      <c r="B25" s="17">
        <v>18500</v>
      </c>
    </row>
    <row r="26" spans="1:2">
      <c r="A26" s="7">
        <v>45674.839212962965</v>
      </c>
      <c r="B26" s="17">
        <v>38500</v>
      </c>
    </row>
    <row r="27" spans="1:2">
      <c r="A27" s="7">
        <v>45675.754930555559</v>
      </c>
      <c r="B27" s="17">
        <v>94000</v>
      </c>
    </row>
    <row r="28" spans="1:2">
      <c r="A28" s="7">
        <v>45676.523101851853</v>
      </c>
      <c r="B28" s="17">
        <v>20500</v>
      </c>
    </row>
    <row r="29" spans="1:2">
      <c r="A29" s="7">
        <v>45676.536990740744</v>
      </c>
      <c r="B29" s="17">
        <v>21500</v>
      </c>
    </row>
    <row r="30" spans="1:2">
      <c r="A30" s="7">
        <v>45676.878553240742</v>
      </c>
      <c r="B30" s="17">
        <v>95500</v>
      </c>
    </row>
    <row r="31" spans="1:2">
      <c r="A31" s="7">
        <v>45676.925416666665</v>
      </c>
      <c r="B31" s="17">
        <v>43000</v>
      </c>
    </row>
    <row r="32" spans="1:2">
      <c r="A32" s="7">
        <v>45677.934259259258</v>
      </c>
      <c r="B32" s="17">
        <v>37000</v>
      </c>
    </row>
    <row r="33" spans="1:2">
      <c r="A33" s="7">
        <v>45679.405046296299</v>
      </c>
      <c r="B33" s="17">
        <v>74000</v>
      </c>
    </row>
    <row r="34" spans="1:2">
      <c r="A34" s="7">
        <v>45679.469571759262</v>
      </c>
      <c r="B34" s="17">
        <v>17000</v>
      </c>
    </row>
    <row r="35" spans="1:2">
      <c r="A35" s="7">
        <v>45679.683113425926</v>
      </c>
      <c r="B35" s="17">
        <v>32000</v>
      </c>
    </row>
    <row r="36" spans="1:2">
      <c r="A36" s="7">
        <v>45679.75335648148</v>
      </c>
      <c r="B36" s="17">
        <v>51500</v>
      </c>
    </row>
    <row r="37" spans="1:2">
      <c r="A37" s="7">
        <v>45680.114641203705</v>
      </c>
      <c r="B37" s="17">
        <v>21000</v>
      </c>
    </row>
    <row r="38" spans="1:2">
      <c r="A38" s="7">
        <v>45683.755787037036</v>
      </c>
      <c r="B38" s="17">
        <v>28000</v>
      </c>
    </row>
    <row r="39" spans="1:2">
      <c r="A39" s="7">
        <v>45684.029953703706</v>
      </c>
      <c r="B39" s="17">
        <v>21500</v>
      </c>
    </row>
    <row r="40" spans="1:2">
      <c r="A40" s="7">
        <v>45684.346759259257</v>
      </c>
      <c r="B40" s="17">
        <v>216000</v>
      </c>
    </row>
    <row r="41" spans="1:2">
      <c r="A41" s="7">
        <v>45684.821018518516</v>
      </c>
      <c r="B41" s="17">
        <v>65500</v>
      </c>
    </row>
    <row r="42" spans="1:2">
      <c r="A42" s="7">
        <v>45685.466886574075</v>
      </c>
      <c r="B42" s="17">
        <v>66000</v>
      </c>
    </row>
    <row r="43" spans="1:2">
      <c r="A43" s="7">
        <v>45685.573576388888</v>
      </c>
      <c r="B43" s="17">
        <v>84500</v>
      </c>
    </row>
    <row r="44" spans="1:2">
      <c r="A44" s="7">
        <v>45685.621388888889</v>
      </c>
      <c r="B44" s="17">
        <v>210500</v>
      </c>
    </row>
    <row r="45" spans="1:2">
      <c r="A45" s="7">
        <v>45686.399907407409</v>
      </c>
      <c r="B45" s="17">
        <v>85500</v>
      </c>
    </row>
    <row r="46" spans="1:2">
      <c r="A46" s="7">
        <v>45687.247152777774</v>
      </c>
      <c r="B46" s="17">
        <v>85500</v>
      </c>
    </row>
    <row r="47" spans="1:2">
      <c r="A47" s="7">
        <v>45688.063425925924</v>
      </c>
      <c r="B47" s="17">
        <v>48500</v>
      </c>
    </row>
    <row r="48" spans="1:2">
      <c r="A48" s="7">
        <v>45688.559351851851</v>
      </c>
      <c r="B48" s="17">
        <v>114000</v>
      </c>
    </row>
    <row r="49" spans="1:2">
      <c r="A49" s="7">
        <v>45688.65729166667</v>
      </c>
      <c r="B49" s="17">
        <v>50000</v>
      </c>
    </row>
    <row r="50" spans="1:2">
      <c r="A50" s="7">
        <v>45688.770497685182</v>
      </c>
      <c r="B50" s="17">
        <v>24500</v>
      </c>
    </row>
    <row r="51" spans="1:2">
      <c r="A51" s="7">
        <v>45688.87809027778</v>
      </c>
      <c r="B51" s="17">
        <v>107000</v>
      </c>
    </row>
    <row r="52" spans="1:2">
      <c r="A52" s="6" t="s">
        <v>797</v>
      </c>
      <c r="B52" s="17">
        <v>68930.232558139542</v>
      </c>
    </row>
    <row r="53" spans="1:2">
      <c r="A53" s="7">
        <v>45689.149027777778</v>
      </c>
      <c r="B53" s="17">
        <v>34500</v>
      </c>
    </row>
    <row r="54" spans="1:2">
      <c r="A54" s="7">
        <v>45689.986597222225</v>
      </c>
      <c r="B54" s="17">
        <v>26000</v>
      </c>
    </row>
    <row r="55" spans="1:2">
      <c r="A55" s="7">
        <v>45692.333587962959</v>
      </c>
      <c r="B55" s="17">
        <v>39500</v>
      </c>
    </row>
    <row r="56" spans="1:2">
      <c r="A56" s="7">
        <v>45692.447245370371</v>
      </c>
      <c r="B56" s="17">
        <v>41500</v>
      </c>
    </row>
    <row r="57" spans="1:2">
      <c r="A57" s="7">
        <v>45692.600405092591</v>
      </c>
      <c r="B57" s="17">
        <v>19500</v>
      </c>
    </row>
    <row r="58" spans="1:2">
      <c r="A58" s="7">
        <v>45694.173078703701</v>
      </c>
      <c r="B58" s="17">
        <v>60000</v>
      </c>
    </row>
    <row r="59" spans="1:2">
      <c r="A59" s="7">
        <v>45694.994675925926</v>
      </c>
      <c r="B59" s="17">
        <v>57500</v>
      </c>
    </row>
    <row r="60" spans="1:2">
      <c r="A60" s="7">
        <v>45695.63076388889</v>
      </c>
      <c r="B60" s="17">
        <v>72000</v>
      </c>
    </row>
    <row r="61" spans="1:2">
      <c r="A61" s="7">
        <v>45695.788287037038</v>
      </c>
      <c r="B61" s="17">
        <v>46000</v>
      </c>
    </row>
    <row r="62" spans="1:2">
      <c r="A62" s="7">
        <v>45696.364490740743</v>
      </c>
      <c r="B62" s="17">
        <v>43000</v>
      </c>
    </row>
    <row r="63" spans="1:2">
      <c r="A63" s="7">
        <v>45696.416018518517</v>
      </c>
      <c r="B63" s="17">
        <v>40000</v>
      </c>
    </row>
    <row r="64" spans="1:2">
      <c r="A64" s="7">
        <v>45696.639374999999</v>
      </c>
      <c r="B64" s="17">
        <v>72000</v>
      </c>
    </row>
    <row r="65" spans="1:2">
      <c r="A65" s="7">
        <v>45697.001388888886</v>
      </c>
      <c r="B65" s="17">
        <v>55000</v>
      </c>
    </row>
    <row r="66" spans="1:2">
      <c r="A66" s="7">
        <v>45699.66510416667</v>
      </c>
      <c r="B66" s="17">
        <v>94000</v>
      </c>
    </row>
    <row r="67" spans="1:2">
      <c r="A67" s="7">
        <v>45700.92423611111</v>
      </c>
      <c r="B67" s="17">
        <v>134000</v>
      </c>
    </row>
    <row r="68" spans="1:2">
      <c r="A68" s="7">
        <v>45701.300879629627</v>
      </c>
      <c r="B68" s="17">
        <v>106000</v>
      </c>
    </row>
    <row r="69" spans="1:2">
      <c r="A69" s="7">
        <v>45701.553518518522</v>
      </c>
      <c r="B69" s="17">
        <v>97500</v>
      </c>
    </row>
    <row r="70" spans="1:2">
      <c r="A70" s="7">
        <v>45701.66679398148</v>
      </c>
      <c r="B70" s="17">
        <v>182000</v>
      </c>
    </row>
    <row r="71" spans="1:2">
      <c r="A71" s="7">
        <v>45701.84652777778</v>
      </c>
      <c r="B71" s="17">
        <v>43000</v>
      </c>
    </row>
    <row r="72" spans="1:2">
      <c r="A72" s="7">
        <v>45703.288680555554</v>
      </c>
      <c r="B72" s="17">
        <v>21500</v>
      </c>
    </row>
    <row r="73" spans="1:2">
      <c r="A73" s="7">
        <v>45704.033171296294</v>
      </c>
      <c r="B73" s="17">
        <v>97000</v>
      </c>
    </row>
    <row r="74" spans="1:2">
      <c r="A74" s="7">
        <v>45704.764803240738</v>
      </c>
      <c r="B74" s="17">
        <v>20500</v>
      </c>
    </row>
    <row r="75" spans="1:2">
      <c r="A75" s="7">
        <v>45705.461493055554</v>
      </c>
      <c r="B75" s="17">
        <v>70000</v>
      </c>
    </row>
    <row r="76" spans="1:2">
      <c r="A76" s="7">
        <v>45706.223379629628</v>
      </c>
      <c r="B76" s="17">
        <v>24000</v>
      </c>
    </row>
    <row r="77" spans="1:2">
      <c r="A77" s="7">
        <v>45706.582997685182</v>
      </c>
      <c r="B77" s="17">
        <v>44500</v>
      </c>
    </row>
    <row r="78" spans="1:2">
      <c r="A78" s="7">
        <v>45708.298148148147</v>
      </c>
      <c r="B78" s="17">
        <v>90000</v>
      </c>
    </row>
    <row r="79" spans="1:2">
      <c r="A79" s="7">
        <v>45709.02140046296</v>
      </c>
      <c r="B79" s="17">
        <v>39000</v>
      </c>
    </row>
    <row r="80" spans="1:2">
      <c r="A80" s="7">
        <v>45709.229386574072</v>
      </c>
      <c r="B80" s="17">
        <v>71000</v>
      </c>
    </row>
    <row r="81" spans="1:2">
      <c r="A81" s="7">
        <v>45709.659930555557</v>
      </c>
      <c r="B81" s="17">
        <v>86500</v>
      </c>
    </row>
    <row r="82" spans="1:2">
      <c r="A82" s="7">
        <v>45709.679976851854</v>
      </c>
      <c r="B82" s="17">
        <v>101000</v>
      </c>
    </row>
    <row r="83" spans="1:2">
      <c r="A83" s="7">
        <v>45710.988865740743</v>
      </c>
      <c r="B83" s="17">
        <v>23000</v>
      </c>
    </row>
    <row r="84" spans="1:2">
      <c r="A84" s="7">
        <v>45711.010196759256</v>
      </c>
      <c r="B84" s="17">
        <v>210000</v>
      </c>
    </row>
    <row r="85" spans="1:2">
      <c r="A85" s="7">
        <v>45711.054363425923</v>
      </c>
      <c r="B85" s="17">
        <v>23500</v>
      </c>
    </row>
    <row r="86" spans="1:2">
      <c r="A86" s="7">
        <v>45711.181446759256</v>
      </c>
      <c r="B86" s="17">
        <v>98000</v>
      </c>
    </row>
    <row r="87" spans="1:2">
      <c r="A87" s="7">
        <v>45711.908483796295</v>
      </c>
      <c r="B87" s="17">
        <v>129500</v>
      </c>
    </row>
    <row r="88" spans="1:2">
      <c r="A88" s="7">
        <v>45712.526331018518</v>
      </c>
      <c r="B88" s="17">
        <v>80000</v>
      </c>
    </row>
    <row r="89" spans="1:2">
      <c r="A89" s="7">
        <v>45713.357442129629</v>
      </c>
      <c r="B89" s="17">
        <v>66500</v>
      </c>
    </row>
    <row r="90" spans="1:2">
      <c r="A90" s="7">
        <v>45713.93954861111</v>
      </c>
      <c r="B90" s="17">
        <v>57500</v>
      </c>
    </row>
    <row r="91" spans="1:2">
      <c r="A91" s="7">
        <v>45714.114432870374</v>
      </c>
      <c r="B91" s="17">
        <v>110500</v>
      </c>
    </row>
    <row r="92" spans="1:2">
      <c r="A92" s="7">
        <v>45715.285868055558</v>
      </c>
      <c r="B92" s="17">
        <v>70000</v>
      </c>
    </row>
    <row r="93" spans="1:2">
      <c r="A93" s="7">
        <v>45715.690335648149</v>
      </c>
      <c r="B93" s="17">
        <v>81500</v>
      </c>
    </row>
    <row r="94" spans="1:2">
      <c r="A94" s="7">
        <v>45715.882465277777</v>
      </c>
      <c r="B94" s="17">
        <v>24500</v>
      </c>
    </row>
    <row r="95" spans="1:2">
      <c r="A95" s="7">
        <v>45716.839918981481</v>
      </c>
      <c r="B95" s="17">
        <v>61500</v>
      </c>
    </row>
    <row r="96" spans="1:2">
      <c r="A96" s="6" t="s">
        <v>798</v>
      </c>
      <c r="B96" s="17">
        <v>73040.816326530607</v>
      </c>
    </row>
    <row r="97" spans="1:2">
      <c r="A97" s="7">
        <v>45717.103738425925</v>
      </c>
      <c r="B97" s="17">
        <v>28500</v>
      </c>
    </row>
    <row r="98" spans="1:2">
      <c r="A98" s="7">
        <v>45717.246782407405</v>
      </c>
      <c r="B98" s="17">
        <v>61000</v>
      </c>
    </row>
    <row r="99" spans="1:2">
      <c r="A99" s="7">
        <v>45717.787951388891</v>
      </c>
      <c r="B99" s="17">
        <v>20500</v>
      </c>
    </row>
    <row r="100" spans="1:2">
      <c r="A100" s="7">
        <v>45718.615694444445</v>
      </c>
      <c r="B100" s="17">
        <v>53500</v>
      </c>
    </row>
    <row r="101" spans="1:2">
      <c r="A101" s="7">
        <v>45719.394780092596</v>
      </c>
      <c r="B101" s="17">
        <v>51500</v>
      </c>
    </row>
    <row r="102" spans="1:2">
      <c r="A102" s="7">
        <v>45719.720601851855</v>
      </c>
      <c r="B102" s="17">
        <v>67000</v>
      </c>
    </row>
    <row r="103" spans="1:2">
      <c r="A103" s="7">
        <v>45720.614131944443</v>
      </c>
      <c r="B103" s="17">
        <v>162000</v>
      </c>
    </row>
    <row r="104" spans="1:2">
      <c r="A104" s="7">
        <v>45721.145486111112</v>
      </c>
      <c r="B104" s="17">
        <v>11000</v>
      </c>
    </row>
    <row r="105" spans="1:2">
      <c r="A105" s="7">
        <v>45721.226967592593</v>
      </c>
      <c r="B105" s="17">
        <v>218500</v>
      </c>
    </row>
    <row r="106" spans="1:2">
      <c r="A106" s="7">
        <v>45722.339768518519</v>
      </c>
      <c r="B106" s="17">
        <v>60500</v>
      </c>
    </row>
    <row r="107" spans="1:2">
      <c r="A107" s="7">
        <v>45722.375775462962</v>
      </c>
      <c r="B107" s="17">
        <v>52000</v>
      </c>
    </row>
    <row r="108" spans="1:2">
      <c r="A108" s="7">
        <v>45723.495324074072</v>
      </c>
      <c r="B108" s="17">
        <v>40000</v>
      </c>
    </row>
    <row r="109" spans="1:2">
      <c r="A109" s="7">
        <v>45724.245381944442</v>
      </c>
      <c r="B109" s="17">
        <v>29500</v>
      </c>
    </row>
    <row r="110" spans="1:2">
      <c r="A110" s="7">
        <v>45724.520509259259</v>
      </c>
      <c r="B110" s="17">
        <v>40500</v>
      </c>
    </row>
    <row r="111" spans="1:2">
      <c r="A111" s="7">
        <v>45725.204467592594</v>
      </c>
      <c r="B111" s="17">
        <v>64000</v>
      </c>
    </row>
    <row r="112" spans="1:2">
      <c r="A112" s="7">
        <v>45725.967060185183</v>
      </c>
      <c r="B112" s="17">
        <v>27000</v>
      </c>
    </row>
    <row r="113" spans="1:2">
      <c r="A113" s="7">
        <v>45727.063726851855</v>
      </c>
      <c r="B113" s="17">
        <v>138500</v>
      </c>
    </row>
    <row r="114" spans="1:2">
      <c r="A114" s="7">
        <v>45728.172488425924</v>
      </c>
      <c r="B114" s="17">
        <v>137500</v>
      </c>
    </row>
    <row r="115" spans="1:2">
      <c r="A115" s="7">
        <v>45728.392939814818</v>
      </c>
      <c r="B115" s="17">
        <v>63000</v>
      </c>
    </row>
    <row r="116" spans="1:2">
      <c r="A116" s="7">
        <v>45728.820601851854</v>
      </c>
      <c r="B116" s="17">
        <v>99500</v>
      </c>
    </row>
    <row r="117" spans="1:2">
      <c r="A117" s="7">
        <v>45729.703703703701</v>
      </c>
      <c r="B117" s="17">
        <v>33000</v>
      </c>
    </row>
    <row r="118" spans="1:2">
      <c r="A118" s="7">
        <v>45729.766736111109</v>
      </c>
      <c r="B118" s="17">
        <v>30500</v>
      </c>
    </row>
    <row r="119" spans="1:2">
      <c r="A119" s="7">
        <v>45730.744074074071</v>
      </c>
      <c r="B119" s="17">
        <v>70000</v>
      </c>
    </row>
    <row r="120" spans="1:2">
      <c r="A120" s="7">
        <v>45730.830069444448</v>
      </c>
      <c r="B120" s="17">
        <v>140500</v>
      </c>
    </row>
    <row r="121" spans="1:2">
      <c r="A121" s="7">
        <v>45731.478750000002</v>
      </c>
      <c r="B121" s="17">
        <v>74500</v>
      </c>
    </row>
    <row r="122" spans="1:2">
      <c r="A122" s="7">
        <v>45733.25037037037</v>
      </c>
      <c r="B122" s="17">
        <v>156000</v>
      </c>
    </row>
    <row r="123" spans="1:2">
      <c r="A123" s="7">
        <v>45733.804930555554</v>
      </c>
      <c r="B123" s="17">
        <v>23000</v>
      </c>
    </row>
    <row r="124" spans="1:2">
      <c r="A124" s="7">
        <v>45734.929456018515</v>
      </c>
      <c r="B124" s="17">
        <v>24000</v>
      </c>
    </row>
    <row r="125" spans="1:2">
      <c r="A125" s="7">
        <v>45735.616018518522</v>
      </c>
      <c r="B125" s="17">
        <v>31000</v>
      </c>
    </row>
    <row r="126" spans="1:2">
      <c r="A126" s="7">
        <v>45736.037858796299</v>
      </c>
      <c r="B126" s="17">
        <v>41500</v>
      </c>
    </row>
    <row r="127" spans="1:2">
      <c r="A127" s="7">
        <v>45737.334490740737</v>
      </c>
      <c r="B127" s="17">
        <v>48500</v>
      </c>
    </row>
    <row r="128" spans="1:2">
      <c r="A128" s="7">
        <v>45737.398043981484</v>
      </c>
      <c r="B128" s="17">
        <v>49000</v>
      </c>
    </row>
    <row r="129" spans="1:2">
      <c r="A129" s="7">
        <v>45738.160613425927</v>
      </c>
      <c r="B129" s="17">
        <v>126000</v>
      </c>
    </row>
    <row r="130" spans="1:2">
      <c r="A130" s="7">
        <v>45738.320659722223</v>
      </c>
      <c r="B130" s="17">
        <v>67000</v>
      </c>
    </row>
    <row r="131" spans="1:2">
      <c r="A131" s="7">
        <v>45738.483298611114</v>
      </c>
      <c r="B131" s="17">
        <v>147000</v>
      </c>
    </row>
    <row r="132" spans="1:2">
      <c r="A132" s="7">
        <v>45738.832129629627</v>
      </c>
      <c r="B132" s="17">
        <v>184500</v>
      </c>
    </row>
    <row r="133" spans="1:2">
      <c r="A133" s="7">
        <v>45739.048460648148</v>
      </c>
      <c r="B133" s="17">
        <v>47500</v>
      </c>
    </row>
    <row r="134" spans="1:2">
      <c r="A134" s="7">
        <v>45740.20107638889</v>
      </c>
      <c r="B134" s="17">
        <v>176500</v>
      </c>
    </row>
    <row r="135" spans="1:2">
      <c r="A135" s="7">
        <v>45740.592928240738</v>
      </c>
      <c r="B135" s="17">
        <v>19500</v>
      </c>
    </row>
    <row r="136" spans="1:2">
      <c r="A136" s="7">
        <v>45741.910914351851</v>
      </c>
      <c r="B136" s="17">
        <v>39000</v>
      </c>
    </row>
    <row r="137" spans="1:2">
      <c r="A137" s="7">
        <v>45743.806921296295</v>
      </c>
      <c r="B137" s="17">
        <v>26000</v>
      </c>
    </row>
    <row r="138" spans="1:2">
      <c r="A138" s="7">
        <v>45744.444560185184</v>
      </c>
      <c r="B138" s="17">
        <v>76000</v>
      </c>
    </row>
    <row r="139" spans="1:2">
      <c r="A139" s="7">
        <v>45744.572002314817</v>
      </c>
      <c r="B139" s="17">
        <v>95000</v>
      </c>
    </row>
    <row r="140" spans="1:2">
      <c r="A140" s="7">
        <v>45745.791122685187</v>
      </c>
      <c r="B140" s="17">
        <v>52000</v>
      </c>
    </row>
    <row r="141" spans="1:2">
      <c r="A141" s="7">
        <v>45745.821388888886</v>
      </c>
      <c r="B141" s="17">
        <v>79000</v>
      </c>
    </row>
    <row r="142" spans="1:2">
      <c r="A142" s="7">
        <v>45746.752500000002</v>
      </c>
      <c r="B142" s="17">
        <v>80000</v>
      </c>
    </row>
    <row r="143" spans="1:2">
      <c r="A143" s="7">
        <v>45746.96806712963</v>
      </c>
      <c r="B143" s="17">
        <v>51000</v>
      </c>
    </row>
    <row r="144" spans="1:2">
      <c r="A144" s="7">
        <v>45747.000972222224</v>
      </c>
      <c r="B144" s="17">
        <v>34000</v>
      </c>
    </row>
    <row r="145" spans="1:2">
      <c r="A145" s="7">
        <v>45747.782430555555</v>
      </c>
      <c r="B145" s="17">
        <v>132000</v>
      </c>
    </row>
    <row r="146" spans="1:2">
      <c r="A146" s="6" t="s">
        <v>799</v>
      </c>
      <c r="B146" s="17">
        <v>71928.571428571435</v>
      </c>
    </row>
    <row r="147" spans="1:2">
      <c r="A147" s="7">
        <v>45748.595995370371</v>
      </c>
      <c r="B147" s="17">
        <v>23000</v>
      </c>
    </row>
    <row r="148" spans="1:2">
      <c r="A148" s="7">
        <v>45749.255543981482</v>
      </c>
      <c r="B148" s="17">
        <v>43000</v>
      </c>
    </row>
    <row r="149" spans="1:2">
      <c r="A149" s="7">
        <v>45749.48228009259</v>
      </c>
      <c r="B149" s="17">
        <v>29000</v>
      </c>
    </row>
    <row r="150" spans="1:2">
      <c r="A150" s="7">
        <v>45750.60974537037</v>
      </c>
      <c r="B150" s="17">
        <v>61500</v>
      </c>
    </row>
    <row r="151" spans="1:2">
      <c r="A151" s="7">
        <v>45751.554664351854</v>
      </c>
      <c r="B151" s="17">
        <v>63000</v>
      </c>
    </row>
    <row r="152" spans="1:2">
      <c r="A152" s="7">
        <v>45753.30878472222</v>
      </c>
      <c r="B152" s="17">
        <v>83000</v>
      </c>
    </row>
    <row r="153" spans="1:2">
      <c r="A153" s="7">
        <v>45753.460092592592</v>
      </c>
      <c r="B153" s="17">
        <v>56500</v>
      </c>
    </row>
    <row r="154" spans="1:2">
      <c r="A154" s="7">
        <v>45753.750474537039</v>
      </c>
      <c r="B154" s="17">
        <v>31000</v>
      </c>
    </row>
    <row r="155" spans="1:2">
      <c r="A155" s="7">
        <v>45754.242939814816</v>
      </c>
      <c r="B155" s="17">
        <v>157000</v>
      </c>
    </row>
    <row r="156" spans="1:2">
      <c r="A156" s="7">
        <v>45755.400439814817</v>
      </c>
      <c r="B156" s="17">
        <v>19000</v>
      </c>
    </row>
    <row r="157" spans="1:2">
      <c r="A157" s="7">
        <v>45755.853715277779</v>
      </c>
      <c r="B157" s="17">
        <v>198000</v>
      </c>
    </row>
    <row r="158" spans="1:2">
      <c r="A158" s="7">
        <v>45756.153622685182</v>
      </c>
      <c r="B158" s="17">
        <v>117000</v>
      </c>
    </row>
    <row r="159" spans="1:2">
      <c r="A159" s="7">
        <v>45756.396111111113</v>
      </c>
      <c r="B159" s="17">
        <v>97500</v>
      </c>
    </row>
    <row r="160" spans="1:2">
      <c r="A160" s="7">
        <v>45758.621180555558</v>
      </c>
      <c r="B160" s="17">
        <v>40000</v>
      </c>
    </row>
    <row r="161" spans="1:2">
      <c r="A161" s="7">
        <v>45758.745763888888</v>
      </c>
      <c r="B161" s="17">
        <v>58500</v>
      </c>
    </row>
    <row r="162" spans="1:2">
      <c r="A162" s="7">
        <v>45761.412557870368</v>
      </c>
      <c r="B162" s="17">
        <v>42500</v>
      </c>
    </row>
    <row r="163" spans="1:2">
      <c r="A163" s="7">
        <v>45762.385104166664</v>
      </c>
      <c r="B163" s="17">
        <v>33000</v>
      </c>
    </row>
    <row r="164" spans="1:2">
      <c r="A164" s="7">
        <v>45763.760208333333</v>
      </c>
      <c r="B164" s="17">
        <v>48000</v>
      </c>
    </row>
    <row r="165" spans="1:2">
      <c r="A165" s="7">
        <v>45764.248553240737</v>
      </c>
      <c r="B165" s="17">
        <v>45000</v>
      </c>
    </row>
    <row r="166" spans="1:2">
      <c r="A166" s="7">
        <v>45764.524756944447</v>
      </c>
      <c r="B166" s="17">
        <v>78500</v>
      </c>
    </row>
    <row r="167" spans="1:2">
      <c r="A167" s="7">
        <v>45764.739988425928</v>
      </c>
      <c r="B167" s="17">
        <v>145000</v>
      </c>
    </row>
    <row r="168" spans="1:2">
      <c r="A168" s="7">
        <v>45765.02275462963</v>
      </c>
      <c r="B168" s="17">
        <v>27500</v>
      </c>
    </row>
    <row r="169" spans="1:2">
      <c r="A169" s="7">
        <v>45765.710266203707</v>
      </c>
      <c r="B169" s="17">
        <v>34500</v>
      </c>
    </row>
    <row r="170" spans="1:2">
      <c r="A170" s="7">
        <v>45766.993784722225</v>
      </c>
      <c r="B170" s="17">
        <v>19500</v>
      </c>
    </row>
    <row r="171" spans="1:2">
      <c r="A171" s="7">
        <v>45768.592546296299</v>
      </c>
      <c r="B171" s="17">
        <v>74500</v>
      </c>
    </row>
    <row r="172" spans="1:2">
      <c r="A172" s="7">
        <v>45768.993067129632</v>
      </c>
      <c r="B172" s="17">
        <v>23500</v>
      </c>
    </row>
    <row r="173" spans="1:2">
      <c r="A173" s="7">
        <v>45770.299780092595</v>
      </c>
      <c r="B173" s="17">
        <v>138500</v>
      </c>
    </row>
    <row r="174" spans="1:2">
      <c r="A174" s="7">
        <v>45770.572800925926</v>
      </c>
      <c r="B174" s="17">
        <v>111000</v>
      </c>
    </row>
    <row r="175" spans="1:2">
      <c r="A175" s="7">
        <v>45771.546342592592</v>
      </c>
      <c r="B175" s="17">
        <v>64500</v>
      </c>
    </row>
    <row r="176" spans="1:2">
      <c r="A176" s="7">
        <v>45771.589687500003</v>
      </c>
      <c r="B176" s="17">
        <v>95500</v>
      </c>
    </row>
    <row r="177" spans="1:2">
      <c r="A177" s="7">
        <v>45771.636099537034</v>
      </c>
      <c r="B177" s="17">
        <v>60500</v>
      </c>
    </row>
    <row r="178" spans="1:2">
      <c r="A178" s="7">
        <v>45772.840185185189</v>
      </c>
      <c r="B178" s="17">
        <v>27500</v>
      </c>
    </row>
    <row r="179" spans="1:2">
      <c r="A179" s="7">
        <v>45773.79351851852</v>
      </c>
      <c r="B179" s="17">
        <v>130000</v>
      </c>
    </row>
    <row r="180" spans="1:2">
      <c r="A180" s="7">
        <v>45774.670671296299</v>
      </c>
      <c r="B180" s="17">
        <v>57500</v>
      </c>
    </row>
    <row r="181" spans="1:2">
      <c r="A181" s="7">
        <v>45775.071284722224</v>
      </c>
      <c r="B181" s="17">
        <v>37000</v>
      </c>
    </row>
    <row r="182" spans="1:2">
      <c r="A182" s="7">
        <v>45775.537314814814</v>
      </c>
      <c r="B182" s="17">
        <v>114500</v>
      </c>
    </row>
    <row r="183" spans="1:2">
      <c r="A183" s="7">
        <v>45775.648275462961</v>
      </c>
      <c r="B183" s="17">
        <v>64500</v>
      </c>
    </row>
    <row r="184" spans="1:2">
      <c r="A184" s="7">
        <v>45776.006458333337</v>
      </c>
      <c r="B184" s="17">
        <v>127500</v>
      </c>
    </row>
    <row r="185" spans="1:2">
      <c r="A185" s="7">
        <v>45776.038182870368</v>
      </c>
      <c r="B185" s="17">
        <v>45500</v>
      </c>
    </row>
    <row r="186" spans="1:2">
      <c r="A186" s="7">
        <v>45776.867546296293</v>
      </c>
      <c r="B186" s="17">
        <v>183000</v>
      </c>
    </row>
    <row r="187" spans="1:2">
      <c r="A187" s="7">
        <v>45777.454340277778</v>
      </c>
      <c r="B187" s="17">
        <v>33500</v>
      </c>
    </row>
    <row r="188" spans="1:2">
      <c r="A188" s="7">
        <v>45777.90525462963</v>
      </c>
      <c r="B188" s="17">
        <v>82000</v>
      </c>
    </row>
    <row r="189" spans="1:2">
      <c r="A189" s="6" t="s">
        <v>800</v>
      </c>
      <c r="B189" s="17">
        <v>67177.777777777781</v>
      </c>
    </row>
    <row r="190" spans="1:2">
      <c r="A190" s="7">
        <v>45778.249988425923</v>
      </c>
      <c r="B190" s="17">
        <v>31000</v>
      </c>
    </row>
    <row r="191" spans="1:2">
      <c r="A191" s="7">
        <v>45779.141377314816</v>
      </c>
      <c r="B191" s="17">
        <v>104500</v>
      </c>
    </row>
    <row r="192" spans="1:2">
      <c r="A192" s="7">
        <v>45779.815289351849</v>
      </c>
      <c r="B192" s="17">
        <v>30500</v>
      </c>
    </row>
    <row r="193" spans="1:2">
      <c r="A193" s="7">
        <v>45780.820335648146</v>
      </c>
      <c r="B193" s="17">
        <v>50000</v>
      </c>
    </row>
    <row r="194" spans="1:2">
      <c r="A194" s="7">
        <v>45780.884768518517</v>
      </c>
      <c r="B194" s="17">
        <v>36500</v>
      </c>
    </row>
    <row r="195" spans="1:2">
      <c r="A195" s="7">
        <v>45781.174791666665</v>
      </c>
      <c r="B195" s="17">
        <v>43000</v>
      </c>
    </row>
    <row r="196" spans="1:2">
      <c r="A196" s="7">
        <v>45783.098032407404</v>
      </c>
      <c r="B196" s="17">
        <v>36500</v>
      </c>
    </row>
    <row r="197" spans="1:2">
      <c r="A197" s="7">
        <v>45783.854201388887</v>
      </c>
      <c r="B197" s="17">
        <v>51000</v>
      </c>
    </row>
    <row r="198" spans="1:2">
      <c r="A198" s="7">
        <v>45784.035462962966</v>
      </c>
      <c r="B198" s="17">
        <v>80000</v>
      </c>
    </row>
    <row r="199" spans="1:2">
      <c r="A199" s="7">
        <v>45784.426354166666</v>
      </c>
      <c r="B199" s="17">
        <v>184000</v>
      </c>
    </row>
    <row r="200" spans="1:2">
      <c r="A200" s="7">
        <v>45785.162824074076</v>
      </c>
      <c r="B200" s="17">
        <v>55500</v>
      </c>
    </row>
    <row r="201" spans="1:2">
      <c r="A201" s="7">
        <v>45786.081319444442</v>
      </c>
      <c r="B201" s="17">
        <v>119000</v>
      </c>
    </row>
    <row r="202" spans="1:2">
      <c r="A202" s="7">
        <v>45786.457361111112</v>
      </c>
      <c r="B202" s="17">
        <v>40500</v>
      </c>
    </row>
    <row r="203" spans="1:2">
      <c r="A203" s="7">
        <v>45786.459687499999</v>
      </c>
      <c r="B203" s="17">
        <v>162000</v>
      </c>
    </row>
    <row r="204" spans="1:2">
      <c r="A204" s="7">
        <v>45786.999444444446</v>
      </c>
      <c r="B204" s="17">
        <v>54500</v>
      </c>
    </row>
    <row r="205" spans="1:2">
      <c r="A205" s="7">
        <v>45787.066979166666</v>
      </c>
      <c r="B205" s="17">
        <v>25500</v>
      </c>
    </row>
    <row r="206" spans="1:2">
      <c r="A206" s="7">
        <v>45787.088900462964</v>
      </c>
      <c r="B206" s="17">
        <v>18000</v>
      </c>
    </row>
    <row r="207" spans="1:2">
      <c r="A207" s="7">
        <v>45789.925532407404</v>
      </c>
      <c r="B207" s="17">
        <v>77000</v>
      </c>
    </row>
    <row r="208" spans="1:2">
      <c r="A208" s="7">
        <v>45790.256689814814</v>
      </c>
      <c r="B208" s="17">
        <v>39500</v>
      </c>
    </row>
    <row r="209" spans="1:2">
      <c r="A209" s="7">
        <v>45791.707071759258</v>
      </c>
      <c r="B209" s="17">
        <v>46500</v>
      </c>
    </row>
    <row r="210" spans="1:2">
      <c r="A210" s="7">
        <v>45792.54011574074</v>
      </c>
      <c r="B210" s="17">
        <v>27500</v>
      </c>
    </row>
    <row r="211" spans="1:2">
      <c r="A211" s="7">
        <v>45793.237210648149</v>
      </c>
      <c r="B211" s="17">
        <v>47500</v>
      </c>
    </row>
    <row r="212" spans="1:2">
      <c r="A212" s="7">
        <v>45793.495810185188</v>
      </c>
      <c r="B212" s="17">
        <v>230500</v>
      </c>
    </row>
    <row r="213" spans="1:2">
      <c r="A213" s="7">
        <v>45793.653668981482</v>
      </c>
      <c r="B213" s="17">
        <v>115000</v>
      </c>
    </row>
    <row r="214" spans="1:2">
      <c r="A214" s="7">
        <v>45794.968819444446</v>
      </c>
      <c r="B214" s="17">
        <v>39500</v>
      </c>
    </row>
    <row r="215" spans="1:2">
      <c r="A215" s="7">
        <v>45795.245474537034</v>
      </c>
      <c r="B215" s="17">
        <v>89500</v>
      </c>
    </row>
    <row r="216" spans="1:2">
      <c r="A216" s="7">
        <v>45795.450601851851</v>
      </c>
      <c r="B216" s="17">
        <v>65500</v>
      </c>
    </row>
    <row r="217" spans="1:2">
      <c r="A217" s="7">
        <v>45795.614305555559</v>
      </c>
      <c r="B217" s="17">
        <v>60500</v>
      </c>
    </row>
    <row r="218" spans="1:2">
      <c r="A218" s="7">
        <v>45798.79179398148</v>
      </c>
      <c r="B218" s="17">
        <v>40500</v>
      </c>
    </row>
    <row r="219" spans="1:2">
      <c r="A219" s="7">
        <v>45799.635428240741</v>
      </c>
      <c r="B219" s="17">
        <v>62500</v>
      </c>
    </row>
    <row r="220" spans="1:2">
      <c r="A220" s="7">
        <v>45799.701689814814</v>
      </c>
      <c r="B220" s="17">
        <v>77000</v>
      </c>
    </row>
    <row r="221" spans="1:2">
      <c r="A221" s="7">
        <v>45800.730810185189</v>
      </c>
      <c r="B221" s="17">
        <v>54000</v>
      </c>
    </row>
    <row r="222" spans="1:2">
      <c r="A222" s="7">
        <v>45801.266504629632</v>
      </c>
      <c r="B222" s="17">
        <v>32000</v>
      </c>
    </row>
    <row r="223" spans="1:2">
      <c r="A223" s="7">
        <v>45801.902731481481</v>
      </c>
      <c r="B223" s="17">
        <v>41500</v>
      </c>
    </row>
    <row r="224" spans="1:2">
      <c r="A224" s="7">
        <v>45802.179166666669</v>
      </c>
      <c r="B224" s="17">
        <v>185000</v>
      </c>
    </row>
    <row r="225" spans="1:2">
      <c r="A225" s="7">
        <v>45802.215914351851</v>
      </c>
      <c r="B225" s="17">
        <v>47000</v>
      </c>
    </row>
    <row r="226" spans="1:2">
      <c r="A226" s="7">
        <v>45803.625069444446</v>
      </c>
      <c r="B226" s="17">
        <v>39500</v>
      </c>
    </row>
    <row r="227" spans="1:2">
      <c r="A227" s="7">
        <v>45804.40179398148</v>
      </c>
      <c r="B227" s="17">
        <v>34500</v>
      </c>
    </row>
    <row r="228" spans="1:2">
      <c r="A228" s="7">
        <v>45805.910810185182</v>
      </c>
      <c r="B228" s="17">
        <v>129000</v>
      </c>
    </row>
    <row r="229" spans="1:2">
      <c r="A229" s="7">
        <v>45806.513831018521</v>
      </c>
      <c r="B229" s="17">
        <v>60000</v>
      </c>
    </row>
    <row r="230" spans="1:2">
      <c r="A230" s="7">
        <v>45806.569467592592</v>
      </c>
      <c r="B230" s="17">
        <v>33000</v>
      </c>
    </row>
    <row r="231" spans="1:2">
      <c r="A231" s="7">
        <v>45806.641886574071</v>
      </c>
      <c r="B231" s="17">
        <v>43500</v>
      </c>
    </row>
    <row r="232" spans="1:2">
      <c r="A232" s="7">
        <v>45808.380868055552</v>
      </c>
      <c r="B232" s="17">
        <v>55500</v>
      </c>
    </row>
    <row r="233" spans="1:2">
      <c r="A233" s="7">
        <v>45808.632476851853</v>
      </c>
      <c r="B233" s="17">
        <v>64000</v>
      </c>
    </row>
    <row r="234" spans="1:2">
      <c r="A234" s="7">
        <v>45808.712650462963</v>
      </c>
      <c r="B234" s="17">
        <v>64000</v>
      </c>
    </row>
    <row r="235" spans="1:2">
      <c r="A235" s="6" t="s">
        <v>801</v>
      </c>
      <c r="B235" s="17">
        <v>59113.63636363636</v>
      </c>
    </row>
    <row r="236" spans="1:2">
      <c r="A236" s="7">
        <v>45809.000787037039</v>
      </c>
      <c r="B236" s="17">
        <v>33000</v>
      </c>
    </row>
    <row r="237" spans="1:2">
      <c r="A237" s="7">
        <v>45809.168043981481</v>
      </c>
      <c r="B237" s="17">
        <v>58000</v>
      </c>
    </row>
    <row r="238" spans="1:2">
      <c r="A238" s="7">
        <v>45809.409513888888</v>
      </c>
      <c r="B238" s="17">
        <v>64500</v>
      </c>
    </row>
    <row r="239" spans="1:2">
      <c r="A239" s="7">
        <v>45809.49145833333</v>
      </c>
      <c r="B239" s="17">
        <v>27000</v>
      </c>
    </row>
    <row r="240" spans="1:2">
      <c r="A240" s="7">
        <v>45810.982037037036</v>
      </c>
      <c r="B240" s="17">
        <v>63000</v>
      </c>
    </row>
    <row r="241" spans="1:2">
      <c r="A241" s="7">
        <v>45811.591678240744</v>
      </c>
      <c r="B241" s="17">
        <v>82000</v>
      </c>
    </row>
    <row r="242" spans="1:2">
      <c r="A242" s="7">
        <v>45811.916342592594</v>
      </c>
      <c r="B242" s="17">
        <v>38500</v>
      </c>
    </row>
    <row r="243" spans="1:2">
      <c r="A243" s="7">
        <v>45812.958437499998</v>
      </c>
      <c r="B243" s="17">
        <v>26500</v>
      </c>
    </row>
    <row r="244" spans="1:2">
      <c r="A244" s="7">
        <v>45813.198009259257</v>
      </c>
      <c r="B244" s="17">
        <v>44500</v>
      </c>
    </row>
    <row r="245" spans="1:2">
      <c r="A245" s="7">
        <v>45813.363912037035</v>
      </c>
      <c r="B245" s="17">
        <v>39500</v>
      </c>
    </row>
    <row r="246" spans="1:2">
      <c r="A246" s="7">
        <v>45813.666238425925</v>
      </c>
      <c r="B246" s="17">
        <v>55500</v>
      </c>
    </row>
    <row r="247" spans="1:2">
      <c r="A247" s="7">
        <v>45813.743564814817</v>
      </c>
      <c r="B247" s="17">
        <v>89500</v>
      </c>
    </row>
    <row r="248" spans="1:2">
      <c r="A248" s="7">
        <v>45815.755601851852</v>
      </c>
      <c r="B248" s="17">
        <v>23000</v>
      </c>
    </row>
    <row r="249" spans="1:2">
      <c r="A249" s="7">
        <v>45815.89943287037</v>
      </c>
      <c r="B249" s="17">
        <v>41000</v>
      </c>
    </row>
    <row r="250" spans="1:2">
      <c r="A250" s="7">
        <v>45816.099340277775</v>
      </c>
      <c r="B250" s="17">
        <v>35500</v>
      </c>
    </row>
    <row r="251" spans="1:2">
      <c r="A251" s="7">
        <v>45817.506215277775</v>
      </c>
      <c r="B251" s="17">
        <v>126000</v>
      </c>
    </row>
    <row r="252" spans="1:2">
      <c r="A252" s="7">
        <v>45818.1</v>
      </c>
      <c r="B252" s="17">
        <v>49500</v>
      </c>
    </row>
    <row r="253" spans="1:2">
      <c r="A253" s="7">
        <v>45818.254861111112</v>
      </c>
      <c r="B253" s="17">
        <v>156500</v>
      </c>
    </row>
    <row r="254" spans="1:2">
      <c r="A254" s="7">
        <v>45819.383726851855</v>
      </c>
      <c r="B254" s="17">
        <v>59500</v>
      </c>
    </row>
    <row r="255" spans="1:2">
      <c r="A255" s="7">
        <v>45821.278495370374</v>
      </c>
      <c r="B255" s="17">
        <v>104000</v>
      </c>
    </row>
    <row r="256" spans="1:2">
      <c r="A256" s="7">
        <v>45821.683148148149</v>
      </c>
      <c r="B256" s="17">
        <v>82500</v>
      </c>
    </row>
    <row r="257" spans="1:2">
      <c r="A257" s="7">
        <v>45822.375543981485</v>
      </c>
      <c r="B257" s="17">
        <v>28500</v>
      </c>
    </row>
    <row r="258" spans="1:2">
      <c r="A258" s="7">
        <v>45823.001875000002</v>
      </c>
      <c r="B258" s="17">
        <v>96500</v>
      </c>
    </row>
    <row r="259" spans="1:2">
      <c r="A259" s="7">
        <v>45824.166018518517</v>
      </c>
      <c r="B259" s="17">
        <v>55000</v>
      </c>
    </row>
    <row r="260" spans="1:2">
      <c r="A260" s="7">
        <v>45825.14634259259</v>
      </c>
      <c r="B260" s="17">
        <v>39000</v>
      </c>
    </row>
    <row r="261" spans="1:2">
      <c r="A261" s="7">
        <v>45825.930405092593</v>
      </c>
      <c r="B261" s="17">
        <v>29500</v>
      </c>
    </row>
    <row r="262" spans="1:2">
      <c r="A262" s="7">
        <v>45826.67428240741</v>
      </c>
      <c r="B262" s="17">
        <v>38500</v>
      </c>
    </row>
    <row r="263" spans="1:2">
      <c r="A263" s="7">
        <v>45827.873483796298</v>
      </c>
      <c r="B263" s="17">
        <v>29000</v>
      </c>
    </row>
    <row r="264" spans="1:2">
      <c r="A264" s="7">
        <v>45827.922638888886</v>
      </c>
      <c r="B264" s="17">
        <v>111500</v>
      </c>
    </row>
    <row r="265" spans="1:2">
      <c r="A265" s="7">
        <v>45829.010659722226</v>
      </c>
      <c r="B265" s="17">
        <v>102500</v>
      </c>
    </row>
    <row r="266" spans="1:2">
      <c r="A266" s="7">
        <v>45829.419259259259</v>
      </c>
      <c r="B266" s="17">
        <v>41500</v>
      </c>
    </row>
    <row r="267" spans="1:2">
      <c r="A267" s="7">
        <v>45829.731111111112</v>
      </c>
      <c r="B267" s="17">
        <v>35500</v>
      </c>
    </row>
    <row r="268" spans="1:2">
      <c r="A268" s="7">
        <v>45830.255902777775</v>
      </c>
      <c r="B268" s="17">
        <v>26000</v>
      </c>
    </row>
    <row r="269" spans="1:2">
      <c r="A269" s="7">
        <v>45830.498159722221</v>
      </c>
      <c r="B269" s="17">
        <v>37000</v>
      </c>
    </row>
    <row r="270" spans="1:2">
      <c r="A270" s="7">
        <v>45831.164421296293</v>
      </c>
      <c r="B270" s="17">
        <v>37000</v>
      </c>
    </row>
    <row r="271" spans="1:2">
      <c r="A271" s="7">
        <v>45831.193749999999</v>
      </c>
      <c r="B271" s="17">
        <v>39500</v>
      </c>
    </row>
    <row r="272" spans="1:2">
      <c r="A272" s="7">
        <v>45831.749212962961</v>
      </c>
      <c r="B272" s="17">
        <v>124500</v>
      </c>
    </row>
    <row r="273" spans="1:2">
      <c r="A273" s="7">
        <v>45833.381874999999</v>
      </c>
      <c r="B273" s="17">
        <v>85500</v>
      </c>
    </row>
    <row r="274" spans="1:2">
      <c r="A274" s="7">
        <v>45834.03125</v>
      </c>
      <c r="B274" s="17">
        <v>77500</v>
      </c>
    </row>
    <row r="275" spans="1:2">
      <c r="A275" s="7">
        <v>45834.91746527778</v>
      </c>
      <c r="B275" s="17">
        <v>42000</v>
      </c>
    </row>
    <row r="276" spans="1:2">
      <c r="A276" s="7">
        <v>45836.572372685187</v>
      </c>
      <c r="B276" s="17">
        <v>66500</v>
      </c>
    </row>
    <row r="277" spans="1:2">
      <c r="A277" s="7">
        <v>45837.860798611109</v>
      </c>
      <c r="B277" s="17">
        <v>102000</v>
      </c>
    </row>
    <row r="278" spans="1:2">
      <c r="A278" s="7">
        <v>45837.863240740742</v>
      </c>
      <c r="B278" s="17">
        <v>30000</v>
      </c>
    </row>
    <row r="279" spans="1:2">
      <c r="A279" s="7">
        <v>45838.648680555554</v>
      </c>
      <c r="B279" s="17">
        <v>27500</v>
      </c>
    </row>
    <row r="280" spans="1:2">
      <c r="A280" s="6" t="s">
        <v>802</v>
      </c>
      <c r="B280" s="17">
        <v>83627.659574468082</v>
      </c>
    </row>
    <row r="281" spans="1:2">
      <c r="A281" s="7">
        <v>45839.137777777774</v>
      </c>
      <c r="B281" s="17">
        <v>86500</v>
      </c>
    </row>
    <row r="282" spans="1:2">
      <c r="A282" s="7">
        <v>45839.523090277777</v>
      </c>
      <c r="B282" s="17">
        <v>51500</v>
      </c>
    </row>
    <row r="283" spans="1:2">
      <c r="A283" s="7">
        <v>45840.108900462961</v>
      </c>
      <c r="B283" s="17">
        <v>56000</v>
      </c>
    </row>
    <row r="284" spans="1:2">
      <c r="A284" s="7">
        <v>45840.729201388887</v>
      </c>
      <c r="B284" s="17">
        <v>124500</v>
      </c>
    </row>
    <row r="285" spans="1:2">
      <c r="A285" s="7">
        <v>45841.041990740741</v>
      </c>
      <c r="B285" s="17">
        <v>65000</v>
      </c>
    </row>
    <row r="286" spans="1:2">
      <c r="A286" s="7">
        <v>45841.834918981483</v>
      </c>
      <c r="B286" s="17">
        <v>86500</v>
      </c>
    </row>
    <row r="287" spans="1:2">
      <c r="A287" s="7">
        <v>45842.396249999998</v>
      </c>
      <c r="B287" s="17">
        <v>24000</v>
      </c>
    </row>
    <row r="288" spans="1:2">
      <c r="A288" s="7">
        <v>45842.760613425926</v>
      </c>
      <c r="B288" s="17">
        <v>99500</v>
      </c>
    </row>
    <row r="289" spans="1:2">
      <c r="A289" s="7">
        <v>45843.716516203705</v>
      </c>
      <c r="B289" s="17">
        <v>32000</v>
      </c>
    </row>
    <row r="290" spans="1:2">
      <c r="A290" s="7">
        <v>45844.102372685185</v>
      </c>
      <c r="B290" s="17">
        <v>106000</v>
      </c>
    </row>
    <row r="291" spans="1:2">
      <c r="A291" s="7">
        <v>45844.33388888889</v>
      </c>
      <c r="B291" s="17">
        <v>87000</v>
      </c>
    </row>
    <row r="292" spans="1:2">
      <c r="A292" s="7">
        <v>45845.085694444446</v>
      </c>
      <c r="B292" s="17">
        <v>85000</v>
      </c>
    </row>
    <row r="293" spans="1:2">
      <c r="A293" s="7">
        <v>45847.275752314818</v>
      </c>
      <c r="B293" s="17">
        <v>39500</v>
      </c>
    </row>
    <row r="294" spans="1:2">
      <c r="A294" s="7">
        <v>45848.21230324074</v>
      </c>
      <c r="B294" s="17">
        <v>129500</v>
      </c>
    </row>
    <row r="295" spans="1:2">
      <c r="A295" s="7">
        <v>45848.480937499997</v>
      </c>
      <c r="B295" s="17">
        <v>39500</v>
      </c>
    </row>
    <row r="296" spans="1:2">
      <c r="A296" s="7">
        <v>45849.111747685187</v>
      </c>
      <c r="B296" s="17">
        <v>125000</v>
      </c>
    </row>
    <row r="297" spans="1:2">
      <c r="A297" s="7">
        <v>45849.382291666669</v>
      </c>
      <c r="B297" s="17">
        <v>102500</v>
      </c>
    </row>
    <row r="298" spans="1:2">
      <c r="A298" s="7">
        <v>45849.751111111109</v>
      </c>
      <c r="B298" s="17">
        <v>96500</v>
      </c>
    </row>
    <row r="299" spans="1:2">
      <c r="A299" s="7">
        <v>45849.93891203704</v>
      </c>
      <c r="B299" s="17">
        <v>203000</v>
      </c>
    </row>
    <row r="300" spans="1:2">
      <c r="A300" s="7">
        <v>45850.127187500002</v>
      </c>
      <c r="B300" s="17">
        <v>84000</v>
      </c>
    </row>
    <row r="301" spans="1:2">
      <c r="A301" s="7">
        <v>45850.339733796296</v>
      </c>
      <c r="B301" s="17">
        <v>43500</v>
      </c>
    </row>
    <row r="302" spans="1:2">
      <c r="A302" s="7">
        <v>45850.862129629626</v>
      </c>
      <c r="B302" s="17">
        <v>83000</v>
      </c>
    </row>
    <row r="303" spans="1:2">
      <c r="A303" s="7">
        <v>45851.051388888889</v>
      </c>
      <c r="B303" s="17">
        <v>90000</v>
      </c>
    </row>
    <row r="304" spans="1:2">
      <c r="A304" s="7">
        <v>45851.160740740743</v>
      </c>
      <c r="B304" s="17">
        <v>60500</v>
      </c>
    </row>
    <row r="305" spans="1:2">
      <c r="A305" s="7">
        <v>45851.710798611108</v>
      </c>
      <c r="B305" s="17">
        <v>154500</v>
      </c>
    </row>
    <row r="306" spans="1:2">
      <c r="A306" s="7">
        <v>45851.881122685183</v>
      </c>
      <c r="B306" s="17">
        <v>62000</v>
      </c>
    </row>
    <row r="307" spans="1:2">
      <c r="A307" s="7">
        <v>45853.999768518515</v>
      </c>
      <c r="B307" s="17">
        <v>184500</v>
      </c>
    </row>
    <row r="308" spans="1:2">
      <c r="A308" s="7">
        <v>45854.041562500002</v>
      </c>
      <c r="B308" s="17">
        <v>26500</v>
      </c>
    </row>
    <row r="309" spans="1:2">
      <c r="A309" s="7">
        <v>45855.855937499997</v>
      </c>
      <c r="B309" s="17">
        <v>96000</v>
      </c>
    </row>
    <row r="310" spans="1:2">
      <c r="A310" s="7">
        <v>45857.755740740744</v>
      </c>
      <c r="B310" s="17">
        <v>155000</v>
      </c>
    </row>
    <row r="311" spans="1:2">
      <c r="A311" s="7">
        <v>45858.357083333336</v>
      </c>
      <c r="B311" s="17">
        <v>33000</v>
      </c>
    </row>
    <row r="312" spans="1:2">
      <c r="A312" s="7">
        <v>45858.839050925926</v>
      </c>
      <c r="B312" s="17">
        <v>22500</v>
      </c>
    </row>
    <row r="313" spans="1:2">
      <c r="A313" s="7">
        <v>45861.295254629629</v>
      </c>
      <c r="B313" s="17">
        <v>61500</v>
      </c>
    </row>
    <row r="314" spans="1:2">
      <c r="A314" s="7">
        <v>45861.683657407404</v>
      </c>
      <c r="B314" s="17">
        <v>100000</v>
      </c>
    </row>
    <row r="315" spans="1:2">
      <c r="A315" s="7">
        <v>45861.943738425929</v>
      </c>
      <c r="B315" s="17">
        <v>43500</v>
      </c>
    </row>
    <row r="316" spans="1:2">
      <c r="A316" s="7">
        <v>45862.577962962961</v>
      </c>
      <c r="B316" s="17">
        <v>31500</v>
      </c>
    </row>
    <row r="317" spans="1:2">
      <c r="A317" s="7">
        <v>45864.211504629631</v>
      </c>
      <c r="B317" s="17">
        <v>119000</v>
      </c>
    </row>
    <row r="318" spans="1:2">
      <c r="A318" s="7">
        <v>45864.765706018516</v>
      </c>
      <c r="B318" s="17">
        <v>164500</v>
      </c>
    </row>
    <row r="319" spans="1:2">
      <c r="A319" s="7">
        <v>45865.032465277778</v>
      </c>
      <c r="B319" s="17">
        <v>72500</v>
      </c>
    </row>
    <row r="320" spans="1:2">
      <c r="A320" s="7">
        <v>45865.815567129626</v>
      </c>
      <c r="B320" s="17">
        <v>61500</v>
      </c>
    </row>
    <row r="321" spans="1:2">
      <c r="A321" s="7">
        <v>45865.917858796296</v>
      </c>
      <c r="B321" s="17">
        <v>29000</v>
      </c>
    </row>
    <row r="322" spans="1:2">
      <c r="A322" s="7">
        <v>45867.186712962961</v>
      </c>
      <c r="B322" s="17">
        <v>45500</v>
      </c>
    </row>
    <row r="323" spans="1:2">
      <c r="A323" s="7">
        <v>45867.498831018522</v>
      </c>
      <c r="B323" s="17">
        <v>129000</v>
      </c>
    </row>
    <row r="324" spans="1:2">
      <c r="A324" s="7">
        <v>45867.602002314816</v>
      </c>
      <c r="B324" s="17">
        <v>124000</v>
      </c>
    </row>
    <row r="325" spans="1:2">
      <c r="A325" s="7">
        <v>45867.840902777774</v>
      </c>
      <c r="B325" s="17">
        <v>53500</v>
      </c>
    </row>
    <row r="326" spans="1:2">
      <c r="A326" s="7">
        <v>45867.869756944441</v>
      </c>
      <c r="B326" s="17">
        <v>73500</v>
      </c>
    </row>
    <row r="327" spans="1:2">
      <c r="A327" s="7">
        <v>45869.945057870369</v>
      </c>
      <c r="B327" s="17">
        <v>88000</v>
      </c>
    </row>
    <row r="328" spans="1:2">
      <c r="A328" s="6" t="s">
        <v>803</v>
      </c>
      <c r="B328" s="17">
        <v>64314.285714285717</v>
      </c>
    </row>
    <row r="329" spans="1:2">
      <c r="A329" s="7">
        <v>45873.657210648147</v>
      </c>
      <c r="B329" s="17">
        <v>192000</v>
      </c>
    </row>
    <row r="330" spans="1:2">
      <c r="A330" s="7">
        <v>45873.840497685182</v>
      </c>
      <c r="B330" s="17">
        <v>73500</v>
      </c>
    </row>
    <row r="331" spans="1:2">
      <c r="A331" s="7">
        <v>45874.754432870373</v>
      </c>
      <c r="B331" s="17">
        <v>81500</v>
      </c>
    </row>
    <row r="332" spans="1:2">
      <c r="A332" s="7">
        <v>45875.417256944442</v>
      </c>
      <c r="B332" s="17">
        <v>133500</v>
      </c>
    </row>
    <row r="333" spans="1:2">
      <c r="A333" s="7">
        <v>45876.657500000001</v>
      </c>
      <c r="B333" s="17">
        <v>51000</v>
      </c>
    </row>
    <row r="334" spans="1:2">
      <c r="A334" s="7">
        <v>45878.16605324074</v>
      </c>
      <c r="B334" s="17">
        <v>21500</v>
      </c>
    </row>
    <row r="335" spans="1:2">
      <c r="A335" s="7">
        <v>45879.021585648145</v>
      </c>
      <c r="B335" s="17">
        <v>66000</v>
      </c>
    </row>
    <row r="336" spans="1:2">
      <c r="A336" s="7">
        <v>45879.177465277775</v>
      </c>
      <c r="B336" s="17">
        <v>74000</v>
      </c>
    </row>
    <row r="337" spans="1:2">
      <c r="A337" s="7">
        <v>45879.811666666668</v>
      </c>
      <c r="B337" s="17">
        <v>110000</v>
      </c>
    </row>
    <row r="338" spans="1:2">
      <c r="A338" s="7">
        <v>45881.070567129631</v>
      </c>
      <c r="B338" s="17">
        <v>20000</v>
      </c>
    </row>
    <row r="339" spans="1:2">
      <c r="A339" s="7">
        <v>45881.967997685184</v>
      </c>
      <c r="B339" s="17">
        <v>37500</v>
      </c>
    </row>
    <row r="340" spans="1:2">
      <c r="A340" s="7">
        <v>45883.610300925924</v>
      </c>
      <c r="B340" s="17">
        <v>56000</v>
      </c>
    </row>
    <row r="341" spans="1:2">
      <c r="A341" s="7">
        <v>45883.827685185184</v>
      </c>
      <c r="B341" s="17">
        <v>27000</v>
      </c>
    </row>
    <row r="342" spans="1:2">
      <c r="A342" s="7">
        <v>45885.764236111114</v>
      </c>
      <c r="B342" s="17">
        <v>21000</v>
      </c>
    </row>
    <row r="343" spans="1:2">
      <c r="A343" s="7">
        <v>45885.816828703704</v>
      </c>
      <c r="B343" s="17">
        <v>122500</v>
      </c>
    </row>
    <row r="344" spans="1:2">
      <c r="A344" s="7">
        <v>45886.001307870371</v>
      </c>
      <c r="B344" s="17">
        <v>30000</v>
      </c>
    </row>
    <row r="345" spans="1:2">
      <c r="A345" s="7">
        <v>45887.270509259259</v>
      </c>
      <c r="B345" s="17">
        <v>42000</v>
      </c>
    </row>
    <row r="346" spans="1:2">
      <c r="A346" s="7">
        <v>45887.83121527778</v>
      </c>
      <c r="B346" s="17">
        <v>36000</v>
      </c>
    </row>
    <row r="347" spans="1:2">
      <c r="A347" s="7">
        <v>45890.504224537035</v>
      </c>
      <c r="B347" s="17">
        <v>75000</v>
      </c>
    </row>
    <row r="348" spans="1:2">
      <c r="A348" s="7">
        <v>45890.77815972222</v>
      </c>
      <c r="B348" s="17">
        <v>47000</v>
      </c>
    </row>
    <row r="349" spans="1:2">
      <c r="A349" s="7">
        <v>45890.995520833334</v>
      </c>
      <c r="B349" s="17">
        <v>80500</v>
      </c>
    </row>
    <row r="350" spans="1:2">
      <c r="A350" s="7">
        <v>45892.265821759262</v>
      </c>
      <c r="B350" s="17">
        <v>42000</v>
      </c>
    </row>
    <row r="351" spans="1:2">
      <c r="A351" s="7">
        <v>45892.278449074074</v>
      </c>
      <c r="B351" s="17">
        <v>56500</v>
      </c>
    </row>
    <row r="352" spans="1:2">
      <c r="A352" s="7">
        <v>45892.312291666669</v>
      </c>
      <c r="B352" s="17">
        <v>73000</v>
      </c>
    </row>
    <row r="353" spans="1:2">
      <c r="A353" s="7">
        <v>45894.097187500003</v>
      </c>
      <c r="B353" s="17">
        <v>69500</v>
      </c>
    </row>
    <row r="354" spans="1:2">
      <c r="A354" s="7">
        <v>45894.837002314816</v>
      </c>
      <c r="B354" s="17">
        <v>62000</v>
      </c>
    </row>
    <row r="355" spans="1:2">
      <c r="A355" s="7">
        <v>45894.93509259259</v>
      </c>
      <c r="B355" s="17">
        <v>45000</v>
      </c>
    </row>
    <row r="356" spans="1:2">
      <c r="A356" s="7">
        <v>45896.063622685186</v>
      </c>
      <c r="B356" s="17">
        <v>89000</v>
      </c>
    </row>
    <row r="357" spans="1:2">
      <c r="A357" s="7">
        <v>45898.129826388889</v>
      </c>
      <c r="B357" s="17">
        <v>95500</v>
      </c>
    </row>
    <row r="358" spans="1:2">
      <c r="A358" s="7">
        <v>45898.275509259256</v>
      </c>
      <c r="B358" s="17">
        <v>35000</v>
      </c>
    </row>
    <row r="359" spans="1:2">
      <c r="A359" s="7">
        <v>45898.603333333333</v>
      </c>
      <c r="B359" s="17">
        <v>38500</v>
      </c>
    </row>
    <row r="360" spans="1:2">
      <c r="A360" s="7">
        <v>45898.887835648151</v>
      </c>
      <c r="B360" s="17">
        <v>119500</v>
      </c>
    </row>
    <row r="361" spans="1:2">
      <c r="A361" s="7">
        <v>45898.914259259262</v>
      </c>
      <c r="B361" s="17">
        <v>36000</v>
      </c>
    </row>
    <row r="362" spans="1:2">
      <c r="A362" s="7">
        <v>45899.892118055555</v>
      </c>
      <c r="B362" s="17">
        <v>52500</v>
      </c>
    </row>
    <row r="363" spans="1:2">
      <c r="A363" s="7">
        <v>45900.21634259259</v>
      </c>
      <c r="B363" s="17">
        <v>39500</v>
      </c>
    </row>
    <row r="364" spans="1:2">
      <c r="A364" s="6" t="s">
        <v>804</v>
      </c>
      <c r="B364" s="17">
        <v>61270.833333333336</v>
      </c>
    </row>
    <row r="365" spans="1:2">
      <c r="A365" s="7">
        <v>45901.166921296295</v>
      </c>
      <c r="B365" s="17">
        <v>40500</v>
      </c>
    </row>
    <row r="366" spans="1:2">
      <c r="A366" s="7">
        <v>45901.324826388889</v>
      </c>
      <c r="B366" s="17">
        <v>20500</v>
      </c>
    </row>
    <row r="367" spans="1:2">
      <c r="A367" s="7">
        <v>45901.327013888891</v>
      </c>
      <c r="B367" s="17">
        <v>57500</v>
      </c>
    </row>
    <row r="368" spans="1:2">
      <c r="A368" s="7">
        <v>45901.492523148147</v>
      </c>
      <c r="B368" s="17">
        <v>20500</v>
      </c>
    </row>
    <row r="369" spans="1:2">
      <c r="A369" s="7">
        <v>45901.540625000001</v>
      </c>
      <c r="B369" s="17">
        <v>128500</v>
      </c>
    </row>
    <row r="370" spans="1:2">
      <c r="A370" s="7">
        <v>45903.201851851853</v>
      </c>
      <c r="B370" s="17">
        <v>26500</v>
      </c>
    </row>
    <row r="371" spans="1:2">
      <c r="A371" s="7">
        <v>45904.399861111109</v>
      </c>
      <c r="B371" s="17">
        <v>34000</v>
      </c>
    </row>
    <row r="372" spans="1:2">
      <c r="A372" s="7">
        <v>45906.805821759262</v>
      </c>
      <c r="B372" s="17">
        <v>72500</v>
      </c>
    </row>
    <row r="373" spans="1:2">
      <c r="A373" s="7">
        <v>45908.133946759262</v>
      </c>
      <c r="B373" s="17">
        <v>38500</v>
      </c>
    </row>
    <row r="374" spans="1:2">
      <c r="A374" s="7">
        <v>45908.722534722219</v>
      </c>
      <c r="B374" s="17">
        <v>115500</v>
      </c>
    </row>
    <row r="375" spans="1:2">
      <c r="A375" s="7">
        <v>45908.806574074071</v>
      </c>
      <c r="B375" s="17">
        <v>79500</v>
      </c>
    </row>
    <row r="376" spans="1:2">
      <c r="A376" s="7">
        <v>45908.865810185183</v>
      </c>
      <c r="B376" s="17">
        <v>68000</v>
      </c>
    </row>
    <row r="377" spans="1:2">
      <c r="A377" s="7">
        <v>45909.196979166663</v>
      </c>
      <c r="B377" s="17">
        <v>13500</v>
      </c>
    </row>
    <row r="378" spans="1:2">
      <c r="A378" s="7">
        <v>45909.345127314817</v>
      </c>
      <c r="B378" s="17">
        <v>39000</v>
      </c>
    </row>
    <row r="379" spans="1:2">
      <c r="A379" s="7">
        <v>45909.762060185189</v>
      </c>
      <c r="B379" s="17">
        <v>30500</v>
      </c>
    </row>
    <row r="380" spans="1:2">
      <c r="A380" s="7">
        <v>45910.789282407408</v>
      </c>
      <c r="B380" s="17">
        <v>69500</v>
      </c>
    </row>
    <row r="381" spans="1:2">
      <c r="A381" s="7">
        <v>45911.472210648149</v>
      </c>
      <c r="B381" s="17">
        <v>52500</v>
      </c>
    </row>
    <row r="382" spans="1:2">
      <c r="A382" s="7">
        <v>45911.476134259261</v>
      </c>
      <c r="B382" s="17">
        <v>89000</v>
      </c>
    </row>
    <row r="383" spans="1:2">
      <c r="A383" s="7">
        <v>45911.745393518519</v>
      </c>
      <c r="B383" s="17">
        <v>138500</v>
      </c>
    </row>
    <row r="384" spans="1:2">
      <c r="A384" s="7">
        <v>45912.221018518518</v>
      </c>
      <c r="B384" s="17">
        <v>39000</v>
      </c>
    </row>
    <row r="385" spans="1:2">
      <c r="A385" s="7">
        <v>45912.618425925924</v>
      </c>
      <c r="B385" s="17">
        <v>131000</v>
      </c>
    </row>
    <row r="386" spans="1:2">
      <c r="A386" s="7">
        <v>45913.286620370367</v>
      </c>
      <c r="B386" s="17">
        <v>64500</v>
      </c>
    </row>
    <row r="387" spans="1:2">
      <c r="A387" s="7">
        <v>45913.374236111114</v>
      </c>
      <c r="B387" s="17">
        <v>222000</v>
      </c>
    </row>
    <row r="388" spans="1:2">
      <c r="A388" s="7">
        <v>45914.149201388886</v>
      </c>
      <c r="B388" s="17">
        <v>27000</v>
      </c>
    </row>
    <row r="389" spans="1:2">
      <c r="A389" s="7">
        <v>45914.475729166668</v>
      </c>
      <c r="B389" s="17">
        <v>48000</v>
      </c>
    </row>
    <row r="390" spans="1:2">
      <c r="A390" s="7">
        <v>45914.535000000003</v>
      </c>
      <c r="B390" s="17">
        <v>91500</v>
      </c>
    </row>
    <row r="391" spans="1:2">
      <c r="A391" s="7">
        <v>45916.17359953704</v>
      </c>
      <c r="B391" s="17">
        <v>41000</v>
      </c>
    </row>
    <row r="392" spans="1:2">
      <c r="A392" s="7">
        <v>45917.071875000001</v>
      </c>
      <c r="B392" s="17">
        <v>140500</v>
      </c>
    </row>
    <row r="393" spans="1:2">
      <c r="A393" s="7">
        <v>45918.066076388888</v>
      </c>
      <c r="B393" s="17">
        <v>27500</v>
      </c>
    </row>
    <row r="394" spans="1:2">
      <c r="A394" s="7">
        <v>45918.196215277778</v>
      </c>
      <c r="B394" s="17">
        <v>35000</v>
      </c>
    </row>
    <row r="395" spans="1:2">
      <c r="A395" s="7">
        <v>45918.669027777774</v>
      </c>
      <c r="B395" s="17">
        <v>74000</v>
      </c>
    </row>
    <row r="396" spans="1:2">
      <c r="A396" s="7">
        <v>45919.097002314818</v>
      </c>
      <c r="B396" s="17">
        <v>65000</v>
      </c>
    </row>
    <row r="397" spans="1:2">
      <c r="A397" s="7">
        <v>45919.90347222222</v>
      </c>
      <c r="B397" s="17">
        <v>31500</v>
      </c>
    </row>
    <row r="398" spans="1:2">
      <c r="A398" s="7">
        <v>45920.641250000001</v>
      </c>
      <c r="B398" s="17">
        <v>69000</v>
      </c>
    </row>
    <row r="399" spans="1:2">
      <c r="A399" s="7">
        <v>45921.198506944442</v>
      </c>
      <c r="B399" s="17">
        <v>44500</v>
      </c>
    </row>
    <row r="400" spans="1:2">
      <c r="A400" s="7">
        <v>45923.087210648147</v>
      </c>
      <c r="B400" s="17">
        <v>23500</v>
      </c>
    </row>
    <row r="401" spans="1:2">
      <c r="A401" s="7">
        <v>45923.484976851854</v>
      </c>
      <c r="B401" s="17">
        <v>65000</v>
      </c>
    </row>
    <row r="402" spans="1:2">
      <c r="A402" s="7">
        <v>45923.710162037038</v>
      </c>
      <c r="B402" s="17">
        <v>33000</v>
      </c>
    </row>
    <row r="403" spans="1:2">
      <c r="A403" s="7">
        <v>45923.81931712963</v>
      </c>
      <c r="B403" s="17">
        <v>11000</v>
      </c>
    </row>
    <row r="404" spans="1:2">
      <c r="A404" s="7">
        <v>45923.909016203703</v>
      </c>
      <c r="B404" s="17">
        <v>14000</v>
      </c>
    </row>
    <row r="405" spans="1:2">
      <c r="A405" s="7">
        <v>45924.445428240739</v>
      </c>
      <c r="B405" s="17">
        <v>81000</v>
      </c>
    </row>
    <row r="406" spans="1:2">
      <c r="A406" s="7">
        <v>45925.228495370371</v>
      </c>
      <c r="B406" s="17">
        <v>53500</v>
      </c>
    </row>
    <row r="407" spans="1:2">
      <c r="A407" s="7">
        <v>45925.95621527778</v>
      </c>
      <c r="B407" s="17">
        <v>59000</v>
      </c>
    </row>
    <row r="408" spans="1:2">
      <c r="A408" s="7">
        <v>45926.99287037037</v>
      </c>
      <c r="B408" s="17">
        <v>37000</v>
      </c>
    </row>
    <row r="409" spans="1:2">
      <c r="A409" s="7">
        <v>45927.255509259259</v>
      </c>
      <c r="B409" s="17">
        <v>36500</v>
      </c>
    </row>
    <row r="410" spans="1:2">
      <c r="A410" s="7">
        <v>45927.998680555553</v>
      </c>
      <c r="B410" s="17">
        <v>83000</v>
      </c>
    </row>
    <row r="411" spans="1:2">
      <c r="A411" s="7">
        <v>45928.086076388892</v>
      </c>
      <c r="B411" s="17">
        <v>68000</v>
      </c>
    </row>
    <row r="412" spans="1:2">
      <c r="A412" s="7">
        <v>45929.213414351849</v>
      </c>
      <c r="B412" s="17">
        <v>91000</v>
      </c>
    </row>
    <row r="413" spans="1:2">
      <c r="A413" s="6" t="s">
        <v>805</v>
      </c>
      <c r="B413" s="17">
        <v>71418.91891891892</v>
      </c>
    </row>
    <row r="414" spans="1:2">
      <c r="A414" s="7">
        <v>45931.317696759259</v>
      </c>
      <c r="B414" s="17">
        <v>183000</v>
      </c>
    </row>
    <row r="415" spans="1:2">
      <c r="A415" s="7">
        <v>45932.08625</v>
      </c>
      <c r="B415" s="17">
        <v>38000</v>
      </c>
    </row>
    <row r="416" spans="1:2">
      <c r="A416" s="7">
        <v>45932.953159722223</v>
      </c>
      <c r="B416" s="17">
        <v>119500</v>
      </c>
    </row>
    <row r="417" spans="1:2">
      <c r="A417" s="7">
        <v>45933.084699074076</v>
      </c>
      <c r="B417" s="17">
        <v>57000</v>
      </c>
    </row>
    <row r="418" spans="1:2">
      <c r="A418" s="7">
        <v>45933.933171296296</v>
      </c>
      <c r="B418" s="17">
        <v>98000</v>
      </c>
    </row>
    <row r="419" spans="1:2">
      <c r="A419" s="7">
        <v>45934.614918981482</v>
      </c>
      <c r="B419" s="17">
        <v>166500</v>
      </c>
    </row>
    <row r="420" spans="1:2">
      <c r="A420" s="7">
        <v>45934.978981481479</v>
      </c>
      <c r="B420" s="17">
        <v>109500</v>
      </c>
    </row>
    <row r="421" spans="1:2">
      <c r="A421" s="7">
        <v>45935.254178240742</v>
      </c>
      <c r="B421" s="17">
        <v>134000</v>
      </c>
    </row>
    <row r="422" spans="1:2">
      <c r="A422" s="7">
        <v>45936.275185185186</v>
      </c>
      <c r="B422" s="17">
        <v>66000</v>
      </c>
    </row>
    <row r="423" spans="1:2">
      <c r="A423" s="7">
        <v>45936.850138888891</v>
      </c>
      <c r="B423" s="17">
        <v>28000</v>
      </c>
    </row>
    <row r="424" spans="1:2">
      <c r="A424" s="7">
        <v>45936.977430555555</v>
      </c>
      <c r="B424" s="17">
        <v>68000</v>
      </c>
    </row>
    <row r="425" spans="1:2">
      <c r="A425" s="7">
        <v>45937.242881944447</v>
      </c>
      <c r="B425" s="17">
        <v>53500</v>
      </c>
    </row>
    <row r="426" spans="1:2">
      <c r="A426" s="7">
        <v>45937.655671296299</v>
      </c>
      <c r="B426" s="17">
        <v>36500</v>
      </c>
    </row>
    <row r="427" spans="1:2">
      <c r="A427" s="7">
        <v>45938.604907407411</v>
      </c>
      <c r="B427" s="17">
        <v>57000</v>
      </c>
    </row>
    <row r="428" spans="1:2">
      <c r="A428" s="7">
        <v>45939.192731481482</v>
      </c>
      <c r="B428" s="17">
        <v>42500</v>
      </c>
    </row>
    <row r="429" spans="1:2">
      <c r="A429" s="7">
        <v>45942.402199074073</v>
      </c>
      <c r="B429" s="17">
        <v>19500</v>
      </c>
    </row>
    <row r="430" spans="1:2">
      <c r="A430" s="7">
        <v>45944.661527777775</v>
      </c>
      <c r="B430" s="17">
        <v>16500</v>
      </c>
    </row>
    <row r="431" spans="1:2">
      <c r="A431" s="7">
        <v>45944.8590625</v>
      </c>
      <c r="B431" s="17">
        <v>64500</v>
      </c>
    </row>
    <row r="432" spans="1:2">
      <c r="A432" s="7">
        <v>45949.275787037041</v>
      </c>
      <c r="B432" s="17">
        <v>48500</v>
      </c>
    </row>
    <row r="433" spans="1:2">
      <c r="A433" s="7">
        <v>45949.591851851852</v>
      </c>
      <c r="B433" s="17">
        <v>24500</v>
      </c>
    </row>
    <row r="434" spans="1:2">
      <c r="A434" s="7">
        <v>45949.879074074073</v>
      </c>
      <c r="B434" s="17">
        <v>66000</v>
      </c>
    </row>
    <row r="435" spans="1:2">
      <c r="A435" s="7">
        <v>45950.687800925924</v>
      </c>
      <c r="B435" s="17">
        <v>48500</v>
      </c>
    </row>
    <row r="436" spans="1:2">
      <c r="A436" s="7">
        <v>45950.836273148147</v>
      </c>
      <c r="B436" s="17">
        <v>148000</v>
      </c>
    </row>
    <row r="437" spans="1:2">
      <c r="A437" s="7">
        <v>45951.160844907405</v>
      </c>
      <c r="B437" s="17">
        <v>54500</v>
      </c>
    </row>
    <row r="438" spans="1:2">
      <c r="A438" s="7">
        <v>45952.174756944441</v>
      </c>
      <c r="B438" s="17">
        <v>96500</v>
      </c>
    </row>
    <row r="439" spans="1:2">
      <c r="A439" s="7">
        <v>45953.837546296294</v>
      </c>
      <c r="B439" s="17">
        <v>55000</v>
      </c>
    </row>
    <row r="440" spans="1:2">
      <c r="A440" s="7">
        <v>45954.196145833332</v>
      </c>
      <c r="B440" s="17">
        <v>123500</v>
      </c>
    </row>
    <row r="441" spans="1:2">
      <c r="A441" s="7">
        <v>45955.152511574073</v>
      </c>
      <c r="B441" s="17">
        <v>63500</v>
      </c>
    </row>
    <row r="442" spans="1:2">
      <c r="A442" s="7">
        <v>45955.258530092593</v>
      </c>
      <c r="B442" s="17">
        <v>18500</v>
      </c>
    </row>
    <row r="443" spans="1:2">
      <c r="A443" s="7">
        <v>45955.357106481482</v>
      </c>
      <c r="B443" s="17">
        <v>68500</v>
      </c>
    </row>
    <row r="444" spans="1:2">
      <c r="A444" s="7">
        <v>45956.54959490741</v>
      </c>
      <c r="B444" s="17">
        <v>59000</v>
      </c>
    </row>
    <row r="445" spans="1:2">
      <c r="A445" s="7">
        <v>45956.7965625</v>
      </c>
      <c r="B445" s="17">
        <v>65000</v>
      </c>
    </row>
    <row r="446" spans="1:2">
      <c r="A446" s="7">
        <v>45956.928680555553</v>
      </c>
      <c r="B446" s="17">
        <v>78500</v>
      </c>
    </row>
    <row r="447" spans="1:2">
      <c r="A447" s="7">
        <v>45956.990983796299</v>
      </c>
      <c r="B447" s="17">
        <v>65500</v>
      </c>
    </row>
    <row r="448" spans="1:2">
      <c r="A448" s="7">
        <v>45957.269895833335</v>
      </c>
      <c r="B448" s="17">
        <v>92000</v>
      </c>
    </row>
    <row r="449" spans="1:2">
      <c r="A449" s="7">
        <v>45957.583796296298</v>
      </c>
      <c r="B449" s="17">
        <v>70000</v>
      </c>
    </row>
    <row r="450" spans="1:2">
      <c r="A450" s="7">
        <v>45959.850185185183</v>
      </c>
      <c r="B450" s="17">
        <v>39500</v>
      </c>
    </row>
    <row r="451" spans="1:2">
      <c r="A451" s="6" t="s">
        <v>806</v>
      </c>
      <c r="B451" s="17">
        <v>63852.272727272728</v>
      </c>
    </row>
    <row r="452" spans="1:2">
      <c r="A452" s="7">
        <v>45962.730925925927</v>
      </c>
      <c r="B452" s="17">
        <v>41000</v>
      </c>
    </row>
    <row r="453" spans="1:2">
      <c r="A453" s="7">
        <v>45963.467951388891</v>
      </c>
      <c r="B453" s="17">
        <v>43500</v>
      </c>
    </row>
    <row r="454" spans="1:2">
      <c r="A454" s="7">
        <v>45963.912777777776</v>
      </c>
      <c r="B454" s="17">
        <v>39500</v>
      </c>
    </row>
    <row r="455" spans="1:2">
      <c r="A455" s="7">
        <v>45964.024953703702</v>
      </c>
      <c r="B455" s="17">
        <v>28000</v>
      </c>
    </row>
    <row r="456" spans="1:2">
      <c r="A456" s="7">
        <v>45964.384467592594</v>
      </c>
      <c r="B456" s="17">
        <v>58000</v>
      </c>
    </row>
    <row r="457" spans="1:2">
      <c r="A457" s="7">
        <v>45965.059687499997</v>
      </c>
      <c r="B457" s="17">
        <v>63000</v>
      </c>
    </row>
    <row r="458" spans="1:2">
      <c r="A458" s="7">
        <v>45965.280300925922</v>
      </c>
      <c r="B458" s="17">
        <v>58500</v>
      </c>
    </row>
    <row r="459" spans="1:2">
      <c r="A459" s="7">
        <v>45965.672465277778</v>
      </c>
      <c r="B459" s="17">
        <v>45000</v>
      </c>
    </row>
    <row r="460" spans="1:2">
      <c r="A460" s="7">
        <v>45967.287511574075</v>
      </c>
      <c r="B460" s="17">
        <v>24500</v>
      </c>
    </row>
    <row r="461" spans="1:2">
      <c r="A461" s="7">
        <v>45967.364849537036</v>
      </c>
      <c r="B461" s="17">
        <v>90500</v>
      </c>
    </row>
    <row r="462" spans="1:2">
      <c r="A462" s="7">
        <v>45967.412754629629</v>
      </c>
      <c r="B462" s="17">
        <v>41500</v>
      </c>
    </row>
    <row r="463" spans="1:2">
      <c r="A463" s="7">
        <v>45967.937986111108</v>
      </c>
      <c r="B463" s="17">
        <v>63000</v>
      </c>
    </row>
    <row r="464" spans="1:2">
      <c r="A464" s="7">
        <v>45968.712638888886</v>
      </c>
      <c r="B464" s="17">
        <v>99000</v>
      </c>
    </row>
    <row r="465" spans="1:2">
      <c r="A465" s="7">
        <v>45972.467499999999</v>
      </c>
      <c r="B465" s="17">
        <v>125500</v>
      </c>
    </row>
    <row r="466" spans="1:2">
      <c r="A466" s="7">
        <v>45973.813622685186</v>
      </c>
      <c r="B466" s="17">
        <v>40500</v>
      </c>
    </row>
    <row r="467" spans="1:2">
      <c r="A467" s="7">
        <v>45974.502546296295</v>
      </c>
      <c r="B467" s="17">
        <v>101000</v>
      </c>
    </row>
    <row r="468" spans="1:2">
      <c r="A468" s="7">
        <v>45974.5390625</v>
      </c>
      <c r="B468" s="17">
        <v>75500</v>
      </c>
    </row>
    <row r="469" spans="1:2">
      <c r="A469" s="7">
        <v>45975.344351851854</v>
      </c>
      <c r="B469" s="17">
        <v>25500</v>
      </c>
    </row>
    <row r="470" spans="1:2">
      <c r="A470" s="7">
        <v>45975.60796296296</v>
      </c>
      <c r="B470" s="17">
        <v>19500</v>
      </c>
    </row>
    <row r="471" spans="1:2">
      <c r="A471" s="7">
        <v>45975.671805555554</v>
      </c>
      <c r="B471" s="17">
        <v>100500</v>
      </c>
    </row>
    <row r="472" spans="1:2">
      <c r="A472" s="7">
        <v>45975.704780092594</v>
      </c>
      <c r="B472" s="17">
        <v>91000</v>
      </c>
    </row>
    <row r="473" spans="1:2">
      <c r="A473" s="7">
        <v>45975.748229166667</v>
      </c>
      <c r="B473" s="17">
        <v>137000</v>
      </c>
    </row>
    <row r="474" spans="1:2">
      <c r="A474" s="7">
        <v>45978.555590277778</v>
      </c>
      <c r="B474" s="17">
        <v>64500</v>
      </c>
    </row>
    <row r="475" spans="1:2">
      <c r="A475" s="7">
        <v>45979.538182870368</v>
      </c>
      <c r="B475" s="17">
        <v>66000</v>
      </c>
    </row>
    <row r="476" spans="1:2">
      <c r="A476" s="7">
        <v>45979.788402777776</v>
      </c>
      <c r="B476" s="17">
        <v>37000</v>
      </c>
    </row>
    <row r="477" spans="1:2">
      <c r="A477" s="7">
        <v>45979.905266203707</v>
      </c>
      <c r="B477" s="17">
        <v>49000</v>
      </c>
    </row>
    <row r="478" spans="1:2">
      <c r="A478" s="7">
        <v>45982.376863425925</v>
      </c>
      <c r="B478" s="17">
        <v>74000</v>
      </c>
    </row>
    <row r="479" spans="1:2">
      <c r="A479" s="7">
        <v>45982.938622685186</v>
      </c>
      <c r="B479" s="17">
        <v>55500</v>
      </c>
    </row>
    <row r="480" spans="1:2">
      <c r="A480" s="7">
        <v>45983.04724537037</v>
      </c>
      <c r="B480" s="17">
        <v>41000</v>
      </c>
    </row>
    <row r="481" spans="1:2">
      <c r="A481" s="7">
        <v>45983.545335648145</v>
      </c>
      <c r="B481" s="17">
        <v>90500</v>
      </c>
    </row>
    <row r="482" spans="1:2">
      <c r="A482" s="7">
        <v>45984.086365740739</v>
      </c>
      <c r="B482" s="17">
        <v>64500</v>
      </c>
    </row>
    <row r="483" spans="1:2">
      <c r="A483" s="7">
        <v>45985.166481481479</v>
      </c>
      <c r="B483" s="17">
        <v>37000</v>
      </c>
    </row>
    <row r="484" spans="1:2">
      <c r="A484" s="7">
        <v>45986.031331018516</v>
      </c>
      <c r="B484" s="17">
        <v>44000</v>
      </c>
    </row>
    <row r="485" spans="1:2">
      <c r="A485" s="7">
        <v>45986.09883101852</v>
      </c>
      <c r="B485" s="17">
        <v>61000</v>
      </c>
    </row>
    <row r="486" spans="1:2">
      <c r="A486" s="7">
        <v>45986.382453703707</v>
      </c>
      <c r="B486" s="17">
        <v>120000</v>
      </c>
    </row>
    <row r="487" spans="1:2">
      <c r="A487" s="7">
        <v>45986.599664351852</v>
      </c>
      <c r="B487" s="17">
        <v>28500</v>
      </c>
    </row>
    <row r="488" spans="1:2">
      <c r="A488" s="7">
        <v>45988.131284722222</v>
      </c>
      <c r="B488" s="17">
        <v>120500</v>
      </c>
    </row>
    <row r="489" spans="1:2">
      <c r="A489" s="7">
        <v>45988.228101851855</v>
      </c>
      <c r="B489" s="17">
        <v>48000</v>
      </c>
    </row>
    <row r="490" spans="1:2">
      <c r="A490" s="7">
        <v>45988.490231481483</v>
      </c>
      <c r="B490" s="17">
        <v>60000</v>
      </c>
    </row>
    <row r="491" spans="1:2">
      <c r="A491" s="7">
        <v>45989.347094907411</v>
      </c>
      <c r="B491" s="17">
        <v>76000</v>
      </c>
    </row>
    <row r="492" spans="1:2">
      <c r="A492" s="7">
        <v>45990.506493055553</v>
      </c>
      <c r="B492" s="17">
        <v>36500</v>
      </c>
    </row>
    <row r="493" spans="1:2">
      <c r="A493" s="7">
        <v>45990.730243055557</v>
      </c>
      <c r="B493" s="17">
        <v>93000</v>
      </c>
    </row>
    <row r="494" spans="1:2">
      <c r="A494" s="7">
        <v>45991.547638888886</v>
      </c>
      <c r="B494" s="17">
        <v>67500</v>
      </c>
    </row>
    <row r="495" spans="1:2">
      <c r="A495" s="7">
        <v>45991.690787037034</v>
      </c>
      <c r="B495" s="17">
        <v>64500</v>
      </c>
    </row>
    <row r="496" spans="1:2">
      <c r="A496" s="6" t="s">
        <v>807</v>
      </c>
      <c r="B496" s="17">
        <v>56552.631578947367</v>
      </c>
    </row>
    <row r="497" spans="1:2">
      <c r="A497" s="7">
        <v>45992.657719907409</v>
      </c>
      <c r="B497" s="17">
        <v>102000</v>
      </c>
    </row>
    <row r="498" spans="1:2">
      <c r="A498" s="7">
        <v>45994.269456018519</v>
      </c>
      <c r="B498" s="17">
        <v>48000</v>
      </c>
    </row>
    <row r="499" spans="1:2">
      <c r="A499" s="7">
        <v>45995.968194444446</v>
      </c>
      <c r="B499" s="17">
        <v>44000</v>
      </c>
    </row>
    <row r="500" spans="1:2">
      <c r="A500" s="7">
        <v>45996.307685185187</v>
      </c>
      <c r="B500" s="17">
        <v>27500</v>
      </c>
    </row>
    <row r="501" spans="1:2">
      <c r="A501" s="7">
        <v>45996.522199074076</v>
      </c>
      <c r="B501" s="17">
        <v>17000</v>
      </c>
    </row>
    <row r="502" spans="1:2">
      <c r="A502" s="7">
        <v>45996.707476851851</v>
      </c>
      <c r="B502" s="17">
        <v>26000</v>
      </c>
    </row>
    <row r="503" spans="1:2">
      <c r="A503" s="7">
        <v>45997.424293981479</v>
      </c>
      <c r="B503" s="17">
        <v>58500</v>
      </c>
    </row>
    <row r="504" spans="1:2">
      <c r="A504" s="7">
        <v>45997.879791666666</v>
      </c>
      <c r="B504" s="17">
        <v>26500</v>
      </c>
    </row>
    <row r="505" spans="1:2">
      <c r="A505" s="7">
        <v>45997.896724537037</v>
      </c>
      <c r="B505" s="17">
        <v>59500</v>
      </c>
    </row>
    <row r="506" spans="1:2">
      <c r="A506" s="7">
        <v>45998.527824074074</v>
      </c>
      <c r="B506" s="17">
        <v>55500</v>
      </c>
    </row>
    <row r="507" spans="1:2">
      <c r="A507" s="7">
        <v>45998.678101851852</v>
      </c>
      <c r="B507" s="17">
        <v>58000</v>
      </c>
    </row>
    <row r="508" spans="1:2">
      <c r="A508" s="7">
        <v>45999.077175925922</v>
      </c>
      <c r="B508" s="17">
        <v>100000</v>
      </c>
    </row>
    <row r="509" spans="1:2">
      <c r="A509" s="7">
        <v>46001.783726851849</v>
      </c>
      <c r="B509" s="17">
        <v>67500</v>
      </c>
    </row>
    <row r="510" spans="1:2">
      <c r="A510" s="7">
        <v>46003.211574074077</v>
      </c>
      <c r="B510" s="17">
        <v>57000</v>
      </c>
    </row>
    <row r="511" spans="1:2">
      <c r="A511" s="7">
        <v>46004.0156712963</v>
      </c>
      <c r="B511" s="17">
        <v>76000</v>
      </c>
    </row>
    <row r="512" spans="1:2">
      <c r="A512" s="7">
        <v>46004.456284722219</v>
      </c>
      <c r="B512" s="17">
        <v>29500</v>
      </c>
    </row>
    <row r="513" spans="1:2">
      <c r="A513" s="7">
        <v>46004.941874999997</v>
      </c>
      <c r="B513" s="17">
        <v>63000</v>
      </c>
    </row>
    <row r="514" spans="1:2">
      <c r="A514" s="7">
        <v>46005.68173611111</v>
      </c>
      <c r="B514" s="17">
        <v>129000</v>
      </c>
    </row>
    <row r="515" spans="1:2">
      <c r="A515" s="7">
        <v>46005.928599537037</v>
      </c>
      <c r="B515" s="17">
        <v>30000</v>
      </c>
    </row>
    <row r="516" spans="1:2">
      <c r="A516" s="6" t="s">
        <v>791</v>
      </c>
      <c r="B516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3EBF9-DFB5-4284-9448-212AFA9581FB}">
  <dimension ref="A1:D7"/>
  <sheetViews>
    <sheetView workbookViewId="0">
      <selection activeCell="H9" sqref="H9"/>
    </sheetView>
  </sheetViews>
  <sheetFormatPr defaultRowHeight="13"/>
  <cols>
    <col min="1" max="1" width="12.54296875" bestFit="1" customWidth="1"/>
    <col min="2" max="2" width="18.453125" bestFit="1" customWidth="1"/>
    <col min="3" max="3" width="23.36328125" bestFit="1" customWidth="1"/>
    <col min="4" max="4" width="36.26953125" bestFit="1" customWidth="1"/>
  </cols>
  <sheetData>
    <row r="1" spans="1:4">
      <c r="A1" s="5" t="s">
        <v>2</v>
      </c>
      <c r="B1" t="s">
        <v>808</v>
      </c>
      <c r="D1" t="s">
        <v>819</v>
      </c>
    </row>
    <row r="3" spans="1:4">
      <c r="A3" s="5" t="s">
        <v>793</v>
      </c>
      <c r="B3" t="s">
        <v>794</v>
      </c>
      <c r="C3" t="s">
        <v>809</v>
      </c>
      <c r="D3" t="s">
        <v>795</v>
      </c>
    </row>
    <row r="4" spans="1:4">
      <c r="A4" s="6" t="s">
        <v>776</v>
      </c>
      <c r="B4" s="17">
        <v>178</v>
      </c>
      <c r="C4" s="17">
        <v>12852500</v>
      </c>
      <c r="D4" s="17">
        <v>72205.056179775274</v>
      </c>
    </row>
    <row r="5" spans="1:4">
      <c r="A5" s="6" t="s">
        <v>775</v>
      </c>
      <c r="B5" s="17">
        <v>249</v>
      </c>
      <c r="C5" s="17">
        <v>12376000</v>
      </c>
      <c r="D5" s="17">
        <v>49702.811244979923</v>
      </c>
    </row>
    <row r="6" spans="1:4">
      <c r="A6" s="6" t="s">
        <v>774</v>
      </c>
      <c r="B6" s="17">
        <v>73</v>
      </c>
      <c r="C6" s="17">
        <v>8769500</v>
      </c>
      <c r="D6" s="17">
        <v>120130.13698630137</v>
      </c>
    </row>
    <row r="7" spans="1:4">
      <c r="A7" s="6" t="s">
        <v>791</v>
      </c>
      <c r="B7" s="17">
        <v>500</v>
      </c>
      <c r="C7" s="17">
        <v>33998000</v>
      </c>
      <c r="D7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7898D-AB4C-4189-969A-CE405280A650}">
  <dimension ref="A1:D7"/>
  <sheetViews>
    <sheetView workbookViewId="0">
      <selection activeCell="E15" sqref="E15"/>
    </sheetView>
  </sheetViews>
  <sheetFormatPr defaultRowHeight="13"/>
  <cols>
    <col min="1" max="1" width="12.54296875" bestFit="1" customWidth="1"/>
    <col min="2" max="2" width="18.453125" bestFit="1" customWidth="1"/>
    <col min="3" max="3" width="22.1796875" bestFit="1" customWidth="1"/>
    <col min="4" max="4" width="23.36328125" bestFit="1" customWidth="1"/>
  </cols>
  <sheetData>
    <row r="1" spans="1:4">
      <c r="A1" s="5" t="s">
        <v>2</v>
      </c>
      <c r="B1" t="s">
        <v>808</v>
      </c>
      <c r="D1" t="s">
        <v>820</v>
      </c>
    </row>
    <row r="3" spans="1:4">
      <c r="A3" s="5" t="s">
        <v>793</v>
      </c>
      <c r="B3" t="s">
        <v>794</v>
      </c>
      <c r="C3" t="s">
        <v>792</v>
      </c>
      <c r="D3" t="s">
        <v>810</v>
      </c>
    </row>
    <row r="4" spans="1:4">
      <c r="A4" s="6" t="s">
        <v>779</v>
      </c>
      <c r="B4" s="17">
        <v>125</v>
      </c>
      <c r="C4" s="17">
        <v>8136500</v>
      </c>
      <c r="D4" s="17">
        <v>65092</v>
      </c>
    </row>
    <row r="5" spans="1:4">
      <c r="A5" s="6" t="s">
        <v>780</v>
      </c>
      <c r="B5" s="17">
        <v>251</v>
      </c>
      <c r="C5" s="17">
        <v>17573500</v>
      </c>
      <c r="D5" s="17">
        <v>70013.944223107566</v>
      </c>
    </row>
    <row r="6" spans="1:4">
      <c r="A6" s="6" t="s">
        <v>781</v>
      </c>
      <c r="B6" s="17">
        <v>124</v>
      </c>
      <c r="C6" s="17">
        <v>8288000</v>
      </c>
      <c r="D6" s="17">
        <v>66838.709677419349</v>
      </c>
    </row>
    <row r="7" spans="1:4">
      <c r="A7" s="6" t="s">
        <v>791</v>
      </c>
      <c r="B7" s="17">
        <v>500</v>
      </c>
      <c r="C7" s="17">
        <v>33998000</v>
      </c>
      <c r="D7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DD86D-C908-4C9F-8DCF-06B7E6991BBD}">
  <dimension ref="A1:D6"/>
  <sheetViews>
    <sheetView workbookViewId="0">
      <selection activeCell="F11" sqref="F11"/>
    </sheetView>
  </sheetViews>
  <sheetFormatPr defaultRowHeight="13"/>
  <cols>
    <col min="1" max="1" width="12.54296875" bestFit="1" customWidth="1"/>
    <col min="2" max="2" width="18.453125" bestFit="1" customWidth="1"/>
    <col min="3" max="3" width="22.1796875" bestFit="1" customWidth="1"/>
    <col min="4" max="4" width="23.36328125" bestFit="1" customWidth="1"/>
  </cols>
  <sheetData>
    <row r="1" spans="1:4">
      <c r="A1" s="5" t="s">
        <v>2</v>
      </c>
      <c r="B1" t="s">
        <v>808</v>
      </c>
      <c r="D1" t="s">
        <v>821</v>
      </c>
    </row>
    <row r="3" spans="1:4">
      <c r="A3" s="5" t="s">
        <v>793</v>
      </c>
      <c r="B3" t="s">
        <v>794</v>
      </c>
      <c r="C3" t="s">
        <v>792</v>
      </c>
      <c r="D3" t="s">
        <v>810</v>
      </c>
    </row>
    <row r="4" spans="1:4">
      <c r="A4" s="6" t="s">
        <v>778</v>
      </c>
      <c r="B4" s="17">
        <v>328</v>
      </c>
      <c r="C4" s="17">
        <v>22173000</v>
      </c>
      <c r="D4" s="17">
        <v>67600.609756097561</v>
      </c>
    </row>
    <row r="5" spans="1:4">
      <c r="A5" s="6" t="s">
        <v>777</v>
      </c>
      <c r="B5" s="17">
        <v>172</v>
      </c>
      <c r="C5" s="17">
        <v>11825000</v>
      </c>
      <c r="D5" s="17">
        <v>68750</v>
      </c>
    </row>
    <row r="6" spans="1:4">
      <c r="A6" s="6" t="s">
        <v>791</v>
      </c>
      <c r="B6" s="17">
        <v>500</v>
      </c>
      <c r="C6" s="17">
        <v>33998000</v>
      </c>
      <c r="D6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A951F-B08C-4104-9C0B-47E6F784D953}">
  <dimension ref="A2:D9"/>
  <sheetViews>
    <sheetView workbookViewId="0">
      <selection activeCell="C8" sqref="C8"/>
    </sheetView>
  </sheetViews>
  <sheetFormatPr defaultRowHeight="13"/>
  <cols>
    <col min="1" max="1" width="12.54296875" bestFit="1" customWidth="1"/>
    <col min="2" max="2" width="18.453125" bestFit="1" customWidth="1"/>
    <col min="3" max="3" width="22.1796875" bestFit="1" customWidth="1"/>
    <col min="4" max="4" width="23.36328125" bestFit="1" customWidth="1"/>
  </cols>
  <sheetData>
    <row r="2" spans="1:4">
      <c r="A2" s="5" t="s">
        <v>2</v>
      </c>
      <c r="B2" t="s">
        <v>808</v>
      </c>
    </row>
    <row r="4" spans="1:4">
      <c r="A4" s="5" t="s">
        <v>793</v>
      </c>
      <c r="B4" t="s">
        <v>794</v>
      </c>
      <c r="C4" t="s">
        <v>792</v>
      </c>
      <c r="D4" t="s">
        <v>810</v>
      </c>
    </row>
    <row r="5" spans="1:4">
      <c r="A5" s="6">
        <v>1</v>
      </c>
      <c r="B5" s="17">
        <v>92</v>
      </c>
      <c r="C5" s="17">
        <v>6268000</v>
      </c>
      <c r="D5" s="17">
        <v>68130.434782608689</v>
      </c>
    </row>
    <row r="6" spans="1:4">
      <c r="A6" s="6">
        <v>2</v>
      </c>
      <c r="B6" s="17">
        <v>201</v>
      </c>
      <c r="C6" s="17">
        <v>14454000</v>
      </c>
      <c r="D6" s="17">
        <v>71910.447761194024</v>
      </c>
    </row>
    <row r="7" spans="1:4">
      <c r="A7" s="6">
        <v>3</v>
      </c>
      <c r="B7" s="17">
        <v>94</v>
      </c>
      <c r="C7" s="17">
        <v>5633500</v>
      </c>
      <c r="D7" s="17">
        <v>59930.851063829788</v>
      </c>
    </row>
    <row r="8" spans="1:4">
      <c r="A8" s="6">
        <v>4</v>
      </c>
      <c r="B8" s="17">
        <v>113</v>
      </c>
      <c r="C8" s="17">
        <v>7642500</v>
      </c>
      <c r="D8" s="17">
        <v>67632.743362831854</v>
      </c>
    </row>
    <row r="9" spans="1:4">
      <c r="A9" s="6" t="s">
        <v>791</v>
      </c>
      <c r="B9" s="17">
        <v>500</v>
      </c>
      <c r="C9" s="17">
        <v>33998000</v>
      </c>
      <c r="D9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17595-421F-4F89-A532-4BB7F7F27A3A}">
  <dimension ref="A1:D7"/>
  <sheetViews>
    <sheetView workbookViewId="0">
      <selection activeCell="B12" sqref="B12"/>
    </sheetView>
  </sheetViews>
  <sheetFormatPr defaultRowHeight="13"/>
  <cols>
    <col min="1" max="1" width="11.26953125" bestFit="1" customWidth="1"/>
    <col min="2" max="2" width="22.1796875" bestFit="1" customWidth="1"/>
    <col min="3" max="4" width="23.36328125" bestFit="1" customWidth="1"/>
  </cols>
  <sheetData>
    <row r="1" spans="1:4">
      <c r="D1" t="s">
        <v>822</v>
      </c>
    </row>
    <row r="3" spans="1:4">
      <c r="A3" s="5" t="s">
        <v>793</v>
      </c>
      <c r="B3" t="s">
        <v>792</v>
      </c>
    </row>
    <row r="4" spans="1:4">
      <c r="A4" s="6" t="s">
        <v>776</v>
      </c>
      <c r="B4" s="17">
        <v>12852500</v>
      </c>
    </row>
    <row r="5" spans="1:4">
      <c r="A5" s="6" t="s">
        <v>775</v>
      </c>
      <c r="B5" s="17">
        <v>12376000</v>
      </c>
    </row>
    <row r="6" spans="1:4">
      <c r="A6" s="6" t="s">
        <v>774</v>
      </c>
      <c r="B6" s="17">
        <v>8769500</v>
      </c>
    </row>
    <row r="7" spans="1:4">
      <c r="A7" s="6" t="s">
        <v>791</v>
      </c>
      <c r="B7" s="17">
        <v>33998000</v>
      </c>
    </row>
  </sheetData>
  <phoneticPr fontId="2"/>
  <pageMargins left="0.7" right="0.7" top="0.75" bottom="0.75" header="0.3" footer="0.3"/>
  <pageSetup paperSize="9" orientation="portrait" r:id="rId2"/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AA74F-4635-41AE-B049-9D709CB3AF87}">
  <dimension ref="A3:G16"/>
  <sheetViews>
    <sheetView tabSelected="1" workbookViewId="0">
      <selection activeCell="A11" sqref="A11"/>
    </sheetView>
  </sheetViews>
  <sheetFormatPr defaultRowHeight="13"/>
  <cols>
    <col min="1" max="1" width="11.26953125" bestFit="1" customWidth="1"/>
    <col min="2" max="2" width="18.453125" bestFit="1" customWidth="1"/>
    <col min="3" max="3" width="22.1796875" bestFit="1" customWidth="1"/>
    <col min="4" max="4" width="23.36328125" bestFit="1" customWidth="1"/>
  </cols>
  <sheetData>
    <row r="3" spans="1:7">
      <c r="A3" s="5" t="s">
        <v>793</v>
      </c>
      <c r="B3" t="s">
        <v>794</v>
      </c>
      <c r="C3" t="s">
        <v>792</v>
      </c>
      <c r="D3" t="s">
        <v>810</v>
      </c>
      <c r="G3" t="s">
        <v>823</v>
      </c>
    </row>
    <row r="4" spans="1:7">
      <c r="A4" s="6" t="s">
        <v>796</v>
      </c>
      <c r="B4" s="17">
        <v>47</v>
      </c>
      <c r="C4" s="17">
        <v>3161000</v>
      </c>
      <c r="D4" s="17">
        <v>67255.319148936163</v>
      </c>
    </row>
    <row r="5" spans="1:7">
      <c r="A5" s="6" t="s">
        <v>797</v>
      </c>
      <c r="B5" s="17">
        <v>43</v>
      </c>
      <c r="C5" s="17">
        <v>2964000</v>
      </c>
      <c r="D5" s="17">
        <v>68930.232558139542</v>
      </c>
    </row>
    <row r="6" spans="1:7">
      <c r="A6" s="6" t="s">
        <v>798</v>
      </c>
      <c r="B6" s="17">
        <v>49</v>
      </c>
      <c r="C6" s="17">
        <v>3579000</v>
      </c>
      <c r="D6" s="17">
        <v>73040.816326530607</v>
      </c>
    </row>
    <row r="7" spans="1:7">
      <c r="A7" s="6" t="s">
        <v>799</v>
      </c>
      <c r="B7" s="17">
        <v>42</v>
      </c>
      <c r="C7" s="17">
        <v>3021000</v>
      </c>
      <c r="D7" s="17">
        <v>71928.571428571435</v>
      </c>
    </row>
    <row r="8" spans="1:7">
      <c r="A8" s="6" t="s">
        <v>800</v>
      </c>
      <c r="B8" s="17">
        <v>45</v>
      </c>
      <c r="C8" s="17">
        <v>3023000</v>
      </c>
      <c r="D8" s="17">
        <v>67177.777777777781</v>
      </c>
    </row>
    <row r="9" spans="1:7">
      <c r="A9" s="6" t="s">
        <v>801</v>
      </c>
      <c r="B9" s="17">
        <v>44</v>
      </c>
      <c r="C9" s="17">
        <v>2601000</v>
      </c>
      <c r="D9" s="17">
        <v>59113.63636363636</v>
      </c>
    </row>
    <row r="10" spans="1:7">
      <c r="A10" s="6" t="s">
        <v>802</v>
      </c>
      <c r="B10" s="17">
        <v>47</v>
      </c>
      <c r="C10" s="17">
        <v>3930500</v>
      </c>
      <c r="D10" s="17">
        <v>83627.659574468082</v>
      </c>
    </row>
    <row r="11" spans="1:7">
      <c r="A11" s="6" t="s">
        <v>803</v>
      </c>
      <c r="B11" s="17">
        <v>35</v>
      </c>
      <c r="C11" s="17">
        <v>2251000</v>
      </c>
      <c r="D11" s="17">
        <v>64314.285714285717</v>
      </c>
    </row>
    <row r="12" spans="1:7">
      <c r="A12" s="6" t="s">
        <v>804</v>
      </c>
      <c r="B12" s="17">
        <v>48</v>
      </c>
      <c r="C12" s="17">
        <v>2941000</v>
      </c>
      <c r="D12" s="17">
        <v>61270.833333333336</v>
      </c>
    </row>
    <row r="13" spans="1:7">
      <c r="A13" s="6" t="s">
        <v>805</v>
      </c>
      <c r="B13" s="17">
        <v>37</v>
      </c>
      <c r="C13" s="17">
        <v>2642500</v>
      </c>
      <c r="D13" s="17">
        <v>71418.91891891892</v>
      </c>
    </row>
    <row r="14" spans="1:7">
      <c r="A14" s="6" t="s">
        <v>806</v>
      </c>
      <c r="B14" s="17">
        <v>44</v>
      </c>
      <c r="C14" s="17">
        <v>2809500</v>
      </c>
      <c r="D14" s="17">
        <v>63852.272727272728</v>
      </c>
    </row>
    <row r="15" spans="1:7">
      <c r="A15" s="6" t="s">
        <v>807</v>
      </c>
      <c r="B15" s="17">
        <v>19</v>
      </c>
      <c r="C15" s="17">
        <v>1074500</v>
      </c>
      <c r="D15" s="17">
        <v>56552.631578947367</v>
      </c>
    </row>
    <row r="16" spans="1:7">
      <c r="A16" s="6" t="s">
        <v>791</v>
      </c>
      <c r="B16" s="17">
        <v>500</v>
      </c>
      <c r="C16" s="17">
        <v>33998000</v>
      </c>
      <c r="D16" s="17">
        <v>67996</v>
      </c>
    </row>
  </sheetData>
  <phoneticPr fontId="2"/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Hote_Sales_Cleaned</vt:lpstr>
      <vt:lpstr>KPI Summary</vt:lpstr>
      <vt:lpstr>Total Revenue </vt:lpstr>
      <vt:lpstr>Most Revenue Deluxe</vt:lpstr>
      <vt:lpstr>Highest Revenue Per Average</vt:lpstr>
      <vt:lpstr>Customer Behavior</vt:lpstr>
      <vt:lpstr>Most Revenue Booking Channel</vt:lpstr>
      <vt:lpstr>Monthly revenue</vt:lpstr>
      <vt:lpstr>Monthly Booking Count</vt:lpstr>
      <vt:lpstr>Booking Month Average Month</vt:lpstr>
      <vt:lpstr>July Booking</vt:lpstr>
      <vt:lpstr>Booking Channels in July</vt:lpstr>
      <vt:lpstr>Customer Type in July</vt:lpstr>
      <vt:lpstr>Guests in July</vt:lpstr>
      <vt:lpstr>Revenue by Room Type</vt:lpstr>
      <vt:lpstr>Bookings &amp; Revenue by Month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 Hnin Pwint</dc:creator>
  <cp:lastModifiedBy>Oo Hnin Pwint</cp:lastModifiedBy>
  <dcterms:created xsi:type="dcterms:W3CDTF">2026-09-21T16:10:42Z</dcterms:created>
  <dcterms:modified xsi:type="dcterms:W3CDTF">2026-09-23T11:25:24Z</dcterms:modified>
</cp:coreProperties>
</file>